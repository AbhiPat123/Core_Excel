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defaultThemeVersion="166925"/>
  <mc:AlternateContent xmlns:mc="http://schemas.openxmlformats.org/markup-compatibility/2006">
    <mc:Choice Requires="x15">
      <x15ac:absPath xmlns:x15ac="http://schemas.microsoft.com/office/spreadsheetml/2010/11/ac" url="C:\Users\abhis\Desktop\Data Science\ZTM_Excel_Mastery\Notebook\"/>
    </mc:Choice>
  </mc:AlternateContent>
  <xr:revisionPtr revIDLastSave="0" documentId="13_ncr:1_{F61537EB-19E2-4AAE-802D-DDF96F078E4F}" xr6:coauthVersionLast="47" xr6:coauthVersionMax="47" xr10:uidLastSave="{00000000-0000-0000-0000-000000000000}"/>
  <bookViews>
    <workbookView xWindow="-108" yWindow="-108" windowWidth="23256" windowHeight="12720" tabRatio="702" xr2:uid="{9CE27E26-09B8-4A6B-BDB3-55ACC7E10C1C}"/>
  </bookViews>
  <sheets>
    <sheet name="Call Center Pivot" sheetId="8" r:id="rId1"/>
    <sheet name="Call Center Data" sheetId="7" r:id="rId2"/>
    <sheet name="Employees" sheetId="5" r:id="rId3"/>
    <sheet name="Call Types" sheetId="6" r:id="rId4"/>
  </sheets>
  <definedNames>
    <definedName name="ExternalData_1" localSheetId="1" hidden="1">'Call Center Data'!$A$1:$H$1252</definedName>
    <definedName name="Slicer_Call_Type_Desc">#N/A</definedName>
  </definedNames>
  <calcPr calcId="191029"/>
  <pivotCaches>
    <pivotCache cacheId="13"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7" l="1"/>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1047" i="7"/>
  <c r="I1048" i="7"/>
  <c r="I1049" i="7"/>
  <c r="I1050" i="7"/>
  <c r="I1051" i="7"/>
  <c r="I1052" i="7"/>
  <c r="I1053" i="7"/>
  <c r="I1054" i="7"/>
  <c r="I1055" i="7"/>
  <c r="I1056" i="7"/>
  <c r="I1057" i="7"/>
  <c r="I1058" i="7"/>
  <c r="I1059" i="7"/>
  <c r="I1060" i="7"/>
  <c r="I1061" i="7"/>
  <c r="I1062" i="7"/>
  <c r="I1063" i="7"/>
  <c r="I1064" i="7"/>
  <c r="I1065" i="7"/>
  <c r="I1066" i="7"/>
  <c r="I1067" i="7"/>
  <c r="I1068" i="7"/>
  <c r="I1069" i="7"/>
  <c r="I1070" i="7"/>
  <c r="I1071" i="7"/>
  <c r="I1072" i="7"/>
  <c r="I1073" i="7"/>
  <c r="I1074" i="7"/>
  <c r="I1075" i="7"/>
  <c r="I1076" i="7"/>
  <c r="I1077" i="7"/>
  <c r="I1078" i="7"/>
  <c r="I1079" i="7"/>
  <c r="I1080" i="7"/>
  <c r="I1081" i="7"/>
  <c r="I1082" i="7"/>
  <c r="I1083" i="7"/>
  <c r="I1084" i="7"/>
  <c r="I1085" i="7"/>
  <c r="I1086" i="7"/>
  <c r="I1087" i="7"/>
  <c r="I1088" i="7"/>
  <c r="I1089" i="7"/>
  <c r="I1090" i="7"/>
  <c r="I1091" i="7"/>
  <c r="I1092" i="7"/>
  <c r="I1093" i="7"/>
  <c r="I1094" i="7"/>
  <c r="I1095" i="7"/>
  <c r="I1096" i="7"/>
  <c r="I1097" i="7"/>
  <c r="I1098" i="7"/>
  <c r="I1099" i="7"/>
  <c r="I1100" i="7"/>
  <c r="I1101" i="7"/>
  <c r="I1102" i="7"/>
  <c r="I1103" i="7"/>
  <c r="I1104" i="7"/>
  <c r="I1105" i="7"/>
  <c r="I1106" i="7"/>
  <c r="I1107" i="7"/>
  <c r="I1108" i="7"/>
  <c r="I1109" i="7"/>
  <c r="I1110" i="7"/>
  <c r="I1111" i="7"/>
  <c r="I1112" i="7"/>
  <c r="I1113" i="7"/>
  <c r="I1114" i="7"/>
  <c r="I1115" i="7"/>
  <c r="I1116" i="7"/>
  <c r="I1117" i="7"/>
  <c r="I1118" i="7"/>
  <c r="I1119" i="7"/>
  <c r="I1120" i="7"/>
  <c r="I1121" i="7"/>
  <c r="I1122" i="7"/>
  <c r="I1123" i="7"/>
  <c r="I1124" i="7"/>
  <c r="I1125" i="7"/>
  <c r="I1126" i="7"/>
  <c r="I1127" i="7"/>
  <c r="I1128" i="7"/>
  <c r="I1129" i="7"/>
  <c r="I1130" i="7"/>
  <c r="I1131" i="7"/>
  <c r="I1132" i="7"/>
  <c r="I1133" i="7"/>
  <c r="I1134" i="7"/>
  <c r="I1135" i="7"/>
  <c r="I1136" i="7"/>
  <c r="I1137" i="7"/>
  <c r="I1138" i="7"/>
  <c r="I1139" i="7"/>
  <c r="I1140" i="7"/>
  <c r="I1141" i="7"/>
  <c r="I1142" i="7"/>
  <c r="I1143" i="7"/>
  <c r="I1144" i="7"/>
  <c r="I1145" i="7"/>
  <c r="I1146" i="7"/>
  <c r="I1147" i="7"/>
  <c r="I1148" i="7"/>
  <c r="I1149" i="7"/>
  <c r="I1150" i="7"/>
  <c r="I1151" i="7"/>
  <c r="I1152" i="7"/>
  <c r="I1153" i="7"/>
  <c r="I1154" i="7"/>
  <c r="I1155" i="7"/>
  <c r="I1156" i="7"/>
  <c r="I1157" i="7"/>
  <c r="I1158" i="7"/>
  <c r="I1159" i="7"/>
  <c r="I1160" i="7"/>
  <c r="I1161" i="7"/>
  <c r="I1162" i="7"/>
  <c r="I1163" i="7"/>
  <c r="I1164" i="7"/>
  <c r="I1165" i="7"/>
  <c r="I1166" i="7"/>
  <c r="I1167" i="7"/>
  <c r="I1168" i="7"/>
  <c r="I1169" i="7"/>
  <c r="I1170" i="7"/>
  <c r="I1171" i="7"/>
  <c r="I1172" i="7"/>
  <c r="I1173" i="7"/>
  <c r="I1174" i="7"/>
  <c r="I1175" i="7"/>
  <c r="I1176" i="7"/>
  <c r="I1177" i="7"/>
  <c r="I1178" i="7"/>
  <c r="I1179" i="7"/>
  <c r="I1180" i="7"/>
  <c r="I1181" i="7"/>
  <c r="I1182" i="7"/>
  <c r="I1183" i="7"/>
  <c r="I1184" i="7"/>
  <c r="I1185" i="7"/>
  <c r="I1186" i="7"/>
  <c r="I1187" i="7"/>
  <c r="I1188" i="7"/>
  <c r="I1189" i="7"/>
  <c r="I1190" i="7"/>
  <c r="I1191" i="7"/>
  <c r="I1192" i="7"/>
  <c r="I1193" i="7"/>
  <c r="I1194" i="7"/>
  <c r="I1195" i="7"/>
  <c r="I1196" i="7"/>
  <c r="I1197" i="7"/>
  <c r="I1198" i="7"/>
  <c r="I1199" i="7"/>
  <c r="I1200" i="7"/>
  <c r="I1201" i="7"/>
  <c r="I1202" i="7"/>
  <c r="I1203" i="7"/>
  <c r="I1204" i="7"/>
  <c r="I1205" i="7"/>
  <c r="I1206" i="7"/>
  <c r="I1207" i="7"/>
  <c r="I1208" i="7"/>
  <c r="I1209" i="7"/>
  <c r="I1210" i="7"/>
  <c r="I1211" i="7"/>
  <c r="I1212" i="7"/>
  <c r="I1213" i="7"/>
  <c r="I1214" i="7"/>
  <c r="I1215" i="7"/>
  <c r="I1216" i="7"/>
  <c r="I1217" i="7"/>
  <c r="I1218" i="7"/>
  <c r="I1219" i="7"/>
  <c r="I1220" i="7"/>
  <c r="I1221" i="7"/>
  <c r="I1222" i="7"/>
  <c r="I1223" i="7"/>
  <c r="I1224" i="7"/>
  <c r="I1225" i="7"/>
  <c r="I1226" i="7"/>
  <c r="I1227" i="7"/>
  <c r="I1228" i="7"/>
  <c r="I1229" i="7"/>
  <c r="I1230" i="7"/>
  <c r="I1231" i="7"/>
  <c r="I1232" i="7"/>
  <c r="I1233" i="7"/>
  <c r="I1234" i="7"/>
  <c r="I1235" i="7"/>
  <c r="I1236" i="7"/>
  <c r="I1237" i="7"/>
  <c r="I1238" i="7"/>
  <c r="I1239" i="7"/>
  <c r="I1240" i="7"/>
  <c r="I1241" i="7"/>
  <c r="I1242" i="7"/>
  <c r="I1243" i="7"/>
  <c r="I1244" i="7"/>
  <c r="I1245" i="7"/>
  <c r="I1246" i="7"/>
  <c r="I1247" i="7"/>
  <c r="I1248" i="7"/>
  <c r="I1249" i="7"/>
  <c r="I1250" i="7"/>
  <c r="I1251" i="7"/>
  <c r="I1252" i="7"/>
  <c r="J2"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372" i="7"/>
  <c r="J373" i="7"/>
  <c r="J374" i="7"/>
  <c r="J375" i="7"/>
  <c r="J376" i="7"/>
  <c r="J377" i="7"/>
  <c r="J378" i="7"/>
  <c r="J379" i="7"/>
  <c r="J380" i="7"/>
  <c r="J381" i="7"/>
  <c r="J382" i="7"/>
  <c r="J383" i="7"/>
  <c r="J384" i="7"/>
  <c r="J385" i="7"/>
  <c r="J386" i="7"/>
  <c r="J387" i="7"/>
  <c r="J388" i="7"/>
  <c r="J389" i="7"/>
  <c r="J390" i="7"/>
  <c r="J391" i="7"/>
  <c r="J392" i="7"/>
  <c r="J393" i="7"/>
  <c r="J394" i="7"/>
  <c r="J395" i="7"/>
  <c r="J396" i="7"/>
  <c r="J397" i="7"/>
  <c r="J398" i="7"/>
  <c r="J399" i="7"/>
  <c r="J400" i="7"/>
  <c r="J401" i="7"/>
  <c r="J402" i="7"/>
  <c r="J403" i="7"/>
  <c r="J404" i="7"/>
  <c r="J405" i="7"/>
  <c r="J406" i="7"/>
  <c r="J407" i="7"/>
  <c r="J408" i="7"/>
  <c r="J409" i="7"/>
  <c r="J410" i="7"/>
  <c r="J411" i="7"/>
  <c r="J412" i="7"/>
  <c r="J413" i="7"/>
  <c r="J414" i="7"/>
  <c r="J415" i="7"/>
  <c r="J416" i="7"/>
  <c r="J417" i="7"/>
  <c r="J418" i="7"/>
  <c r="J419" i="7"/>
  <c r="J420" i="7"/>
  <c r="J421" i="7"/>
  <c r="J422" i="7"/>
  <c r="J423" i="7"/>
  <c r="J424" i="7"/>
  <c r="J425" i="7"/>
  <c r="J426" i="7"/>
  <c r="J427" i="7"/>
  <c r="J428" i="7"/>
  <c r="J429" i="7"/>
  <c r="J430" i="7"/>
  <c r="J431" i="7"/>
  <c r="J432" i="7"/>
  <c r="J433" i="7"/>
  <c r="J434" i="7"/>
  <c r="J435" i="7"/>
  <c r="J436" i="7"/>
  <c r="J437" i="7"/>
  <c r="J438" i="7"/>
  <c r="J439" i="7"/>
  <c r="J440" i="7"/>
  <c r="J441" i="7"/>
  <c r="J442" i="7"/>
  <c r="J443" i="7"/>
  <c r="J444" i="7"/>
  <c r="J445" i="7"/>
  <c r="J446" i="7"/>
  <c r="J447" i="7"/>
  <c r="J448" i="7"/>
  <c r="J449" i="7"/>
  <c r="J450" i="7"/>
  <c r="J451" i="7"/>
  <c r="J452" i="7"/>
  <c r="J453" i="7"/>
  <c r="J454" i="7"/>
  <c r="J455" i="7"/>
  <c r="J456" i="7"/>
  <c r="J457" i="7"/>
  <c r="J458" i="7"/>
  <c r="J459" i="7"/>
  <c r="J460" i="7"/>
  <c r="J461" i="7"/>
  <c r="J462" i="7"/>
  <c r="J463" i="7"/>
  <c r="J464" i="7"/>
  <c r="J465" i="7"/>
  <c r="J466" i="7"/>
  <c r="J467" i="7"/>
  <c r="J468" i="7"/>
  <c r="J469" i="7"/>
  <c r="J470" i="7"/>
  <c r="J471" i="7"/>
  <c r="J472" i="7"/>
  <c r="J473" i="7"/>
  <c r="J474" i="7"/>
  <c r="J475" i="7"/>
  <c r="J476" i="7"/>
  <c r="J477" i="7"/>
  <c r="J478" i="7"/>
  <c r="J479" i="7"/>
  <c r="J480" i="7"/>
  <c r="J481" i="7"/>
  <c r="J482" i="7"/>
  <c r="J483" i="7"/>
  <c r="J484" i="7"/>
  <c r="J485" i="7"/>
  <c r="J486" i="7"/>
  <c r="J487" i="7"/>
  <c r="J488" i="7"/>
  <c r="J489" i="7"/>
  <c r="J490" i="7"/>
  <c r="J491" i="7"/>
  <c r="J492" i="7"/>
  <c r="J493" i="7"/>
  <c r="J494" i="7"/>
  <c r="J495" i="7"/>
  <c r="J496" i="7"/>
  <c r="J497" i="7"/>
  <c r="J498" i="7"/>
  <c r="J499" i="7"/>
  <c r="J500" i="7"/>
  <c r="J501" i="7"/>
  <c r="J502" i="7"/>
  <c r="J503" i="7"/>
  <c r="J504" i="7"/>
  <c r="J505" i="7"/>
  <c r="J506" i="7"/>
  <c r="J507" i="7"/>
  <c r="J508" i="7"/>
  <c r="J509" i="7"/>
  <c r="J510" i="7"/>
  <c r="J511" i="7"/>
  <c r="J512" i="7"/>
  <c r="J513" i="7"/>
  <c r="J514" i="7"/>
  <c r="J515" i="7"/>
  <c r="J516" i="7"/>
  <c r="J517" i="7"/>
  <c r="J518" i="7"/>
  <c r="J519" i="7"/>
  <c r="J520" i="7"/>
  <c r="J521" i="7"/>
  <c r="J522" i="7"/>
  <c r="J523" i="7"/>
  <c r="J524" i="7"/>
  <c r="J525" i="7"/>
  <c r="J526" i="7"/>
  <c r="J527" i="7"/>
  <c r="J528" i="7"/>
  <c r="J529" i="7"/>
  <c r="J530" i="7"/>
  <c r="J531" i="7"/>
  <c r="J532" i="7"/>
  <c r="J533" i="7"/>
  <c r="J534" i="7"/>
  <c r="J535" i="7"/>
  <c r="J536" i="7"/>
  <c r="J537" i="7"/>
  <c r="J538" i="7"/>
  <c r="J539" i="7"/>
  <c r="J540" i="7"/>
  <c r="J541" i="7"/>
  <c r="J542" i="7"/>
  <c r="J543" i="7"/>
  <c r="J544" i="7"/>
  <c r="J545" i="7"/>
  <c r="J546" i="7"/>
  <c r="J547" i="7"/>
  <c r="J548" i="7"/>
  <c r="J549" i="7"/>
  <c r="J550" i="7"/>
  <c r="J551" i="7"/>
  <c r="J552" i="7"/>
  <c r="J553" i="7"/>
  <c r="J554" i="7"/>
  <c r="J555" i="7"/>
  <c r="J556" i="7"/>
  <c r="J557" i="7"/>
  <c r="J558" i="7"/>
  <c r="J559" i="7"/>
  <c r="J560" i="7"/>
  <c r="J561" i="7"/>
  <c r="J562" i="7"/>
  <c r="J563" i="7"/>
  <c r="J564" i="7"/>
  <c r="J565" i="7"/>
  <c r="J566" i="7"/>
  <c r="J567" i="7"/>
  <c r="J568" i="7"/>
  <c r="J569" i="7"/>
  <c r="J570" i="7"/>
  <c r="J571" i="7"/>
  <c r="J572" i="7"/>
  <c r="J573" i="7"/>
  <c r="J574" i="7"/>
  <c r="J575" i="7"/>
  <c r="J576" i="7"/>
  <c r="J577" i="7"/>
  <c r="J578" i="7"/>
  <c r="J579" i="7"/>
  <c r="J580" i="7"/>
  <c r="J581" i="7"/>
  <c r="J582" i="7"/>
  <c r="J583" i="7"/>
  <c r="J584" i="7"/>
  <c r="J585" i="7"/>
  <c r="J586" i="7"/>
  <c r="J587" i="7"/>
  <c r="J588" i="7"/>
  <c r="J589" i="7"/>
  <c r="J590" i="7"/>
  <c r="J591" i="7"/>
  <c r="J592" i="7"/>
  <c r="J593" i="7"/>
  <c r="J594" i="7"/>
  <c r="J595" i="7"/>
  <c r="J596" i="7"/>
  <c r="J597" i="7"/>
  <c r="J598" i="7"/>
  <c r="J599" i="7"/>
  <c r="J600" i="7"/>
  <c r="J601" i="7"/>
  <c r="J602" i="7"/>
  <c r="J603" i="7"/>
  <c r="J604" i="7"/>
  <c r="J605" i="7"/>
  <c r="J606" i="7"/>
  <c r="J607" i="7"/>
  <c r="J608" i="7"/>
  <c r="J609" i="7"/>
  <c r="J610" i="7"/>
  <c r="J611" i="7"/>
  <c r="J612" i="7"/>
  <c r="J613" i="7"/>
  <c r="J614" i="7"/>
  <c r="J615" i="7"/>
  <c r="J616" i="7"/>
  <c r="J617" i="7"/>
  <c r="J618" i="7"/>
  <c r="J619" i="7"/>
  <c r="J620" i="7"/>
  <c r="J621" i="7"/>
  <c r="J622" i="7"/>
  <c r="J623" i="7"/>
  <c r="J624" i="7"/>
  <c r="J625" i="7"/>
  <c r="J626" i="7"/>
  <c r="J627" i="7"/>
  <c r="J628" i="7"/>
  <c r="J629" i="7"/>
  <c r="J630" i="7"/>
  <c r="J631" i="7"/>
  <c r="J632" i="7"/>
  <c r="J633" i="7"/>
  <c r="J634" i="7"/>
  <c r="J635" i="7"/>
  <c r="J636" i="7"/>
  <c r="J637" i="7"/>
  <c r="J638" i="7"/>
  <c r="J639" i="7"/>
  <c r="J640" i="7"/>
  <c r="J641" i="7"/>
  <c r="J642" i="7"/>
  <c r="J643" i="7"/>
  <c r="J644" i="7"/>
  <c r="J645" i="7"/>
  <c r="J646" i="7"/>
  <c r="J647" i="7"/>
  <c r="J648" i="7"/>
  <c r="J649" i="7"/>
  <c r="J650" i="7"/>
  <c r="J651" i="7"/>
  <c r="J652" i="7"/>
  <c r="J653" i="7"/>
  <c r="J654" i="7"/>
  <c r="J655" i="7"/>
  <c r="J656" i="7"/>
  <c r="J657" i="7"/>
  <c r="J658" i="7"/>
  <c r="J659" i="7"/>
  <c r="J660" i="7"/>
  <c r="J661" i="7"/>
  <c r="J662" i="7"/>
  <c r="J663" i="7"/>
  <c r="J664" i="7"/>
  <c r="J665" i="7"/>
  <c r="J666" i="7"/>
  <c r="J667" i="7"/>
  <c r="J668" i="7"/>
  <c r="J669" i="7"/>
  <c r="J670" i="7"/>
  <c r="J671" i="7"/>
  <c r="J672" i="7"/>
  <c r="J673" i="7"/>
  <c r="J674" i="7"/>
  <c r="J675" i="7"/>
  <c r="J676" i="7"/>
  <c r="J677" i="7"/>
  <c r="J678" i="7"/>
  <c r="J679" i="7"/>
  <c r="J680" i="7"/>
  <c r="J681" i="7"/>
  <c r="J682" i="7"/>
  <c r="J683" i="7"/>
  <c r="J684" i="7"/>
  <c r="J685" i="7"/>
  <c r="J686" i="7"/>
  <c r="J687" i="7"/>
  <c r="J688" i="7"/>
  <c r="J689" i="7"/>
  <c r="J690" i="7"/>
  <c r="J691" i="7"/>
  <c r="J692" i="7"/>
  <c r="J693" i="7"/>
  <c r="J694" i="7"/>
  <c r="J695" i="7"/>
  <c r="J696" i="7"/>
  <c r="J697" i="7"/>
  <c r="J698" i="7"/>
  <c r="J699" i="7"/>
  <c r="J700" i="7"/>
  <c r="J701" i="7"/>
  <c r="J702" i="7"/>
  <c r="J703" i="7"/>
  <c r="J704" i="7"/>
  <c r="J705" i="7"/>
  <c r="J706" i="7"/>
  <c r="J707" i="7"/>
  <c r="J708" i="7"/>
  <c r="J709" i="7"/>
  <c r="J710" i="7"/>
  <c r="J711" i="7"/>
  <c r="J712" i="7"/>
  <c r="J713" i="7"/>
  <c r="J714" i="7"/>
  <c r="J715" i="7"/>
  <c r="J716" i="7"/>
  <c r="J717" i="7"/>
  <c r="J718" i="7"/>
  <c r="J719" i="7"/>
  <c r="J720" i="7"/>
  <c r="J721" i="7"/>
  <c r="J722" i="7"/>
  <c r="J723" i="7"/>
  <c r="J724" i="7"/>
  <c r="J725" i="7"/>
  <c r="J726" i="7"/>
  <c r="J727" i="7"/>
  <c r="J728" i="7"/>
  <c r="J729" i="7"/>
  <c r="J730" i="7"/>
  <c r="J731" i="7"/>
  <c r="J732" i="7"/>
  <c r="J733" i="7"/>
  <c r="J734" i="7"/>
  <c r="J735" i="7"/>
  <c r="J736" i="7"/>
  <c r="J737" i="7"/>
  <c r="J738" i="7"/>
  <c r="J739" i="7"/>
  <c r="J740" i="7"/>
  <c r="J741" i="7"/>
  <c r="J742" i="7"/>
  <c r="J743" i="7"/>
  <c r="J744" i="7"/>
  <c r="J745" i="7"/>
  <c r="J746" i="7"/>
  <c r="J747" i="7"/>
  <c r="J748" i="7"/>
  <c r="J749" i="7"/>
  <c r="J750" i="7"/>
  <c r="J751" i="7"/>
  <c r="J752" i="7"/>
  <c r="J753" i="7"/>
  <c r="J754" i="7"/>
  <c r="J755" i="7"/>
  <c r="J756" i="7"/>
  <c r="J757" i="7"/>
  <c r="J758" i="7"/>
  <c r="J759" i="7"/>
  <c r="J760" i="7"/>
  <c r="J761" i="7"/>
  <c r="J762" i="7"/>
  <c r="J763" i="7"/>
  <c r="J764" i="7"/>
  <c r="J765" i="7"/>
  <c r="J766" i="7"/>
  <c r="J767" i="7"/>
  <c r="J768" i="7"/>
  <c r="J769" i="7"/>
  <c r="J770" i="7"/>
  <c r="J771" i="7"/>
  <c r="J772" i="7"/>
  <c r="J773" i="7"/>
  <c r="J774" i="7"/>
  <c r="J775" i="7"/>
  <c r="J776" i="7"/>
  <c r="J777" i="7"/>
  <c r="J778" i="7"/>
  <c r="J779" i="7"/>
  <c r="J780" i="7"/>
  <c r="J781" i="7"/>
  <c r="J782" i="7"/>
  <c r="J783" i="7"/>
  <c r="J784" i="7"/>
  <c r="J785" i="7"/>
  <c r="J786" i="7"/>
  <c r="J787" i="7"/>
  <c r="J788" i="7"/>
  <c r="J789" i="7"/>
  <c r="J790" i="7"/>
  <c r="J791" i="7"/>
  <c r="J792" i="7"/>
  <c r="J793" i="7"/>
  <c r="J794" i="7"/>
  <c r="J795" i="7"/>
  <c r="J796" i="7"/>
  <c r="J797" i="7"/>
  <c r="J798" i="7"/>
  <c r="J799" i="7"/>
  <c r="J800" i="7"/>
  <c r="J801" i="7"/>
  <c r="J802" i="7"/>
  <c r="J803" i="7"/>
  <c r="J804" i="7"/>
  <c r="J805" i="7"/>
  <c r="J806" i="7"/>
  <c r="J807" i="7"/>
  <c r="J808" i="7"/>
  <c r="J809" i="7"/>
  <c r="J810" i="7"/>
  <c r="J811" i="7"/>
  <c r="J812" i="7"/>
  <c r="J813" i="7"/>
  <c r="J814" i="7"/>
  <c r="J815" i="7"/>
  <c r="J816" i="7"/>
  <c r="J817" i="7"/>
  <c r="J818" i="7"/>
  <c r="J819" i="7"/>
  <c r="J820" i="7"/>
  <c r="J821" i="7"/>
  <c r="J822" i="7"/>
  <c r="J823" i="7"/>
  <c r="J824" i="7"/>
  <c r="J825" i="7"/>
  <c r="J826" i="7"/>
  <c r="J827" i="7"/>
  <c r="J828" i="7"/>
  <c r="J829" i="7"/>
  <c r="J830" i="7"/>
  <c r="J831" i="7"/>
  <c r="J832" i="7"/>
  <c r="J833" i="7"/>
  <c r="J834" i="7"/>
  <c r="J835" i="7"/>
  <c r="J836" i="7"/>
  <c r="J837" i="7"/>
  <c r="J838" i="7"/>
  <c r="J839" i="7"/>
  <c r="J840" i="7"/>
  <c r="J841" i="7"/>
  <c r="J842" i="7"/>
  <c r="J843" i="7"/>
  <c r="J844" i="7"/>
  <c r="J845" i="7"/>
  <c r="J846" i="7"/>
  <c r="J847" i="7"/>
  <c r="J848" i="7"/>
  <c r="J849" i="7"/>
  <c r="J850" i="7"/>
  <c r="J851" i="7"/>
  <c r="J852" i="7"/>
  <c r="J853" i="7"/>
  <c r="J854" i="7"/>
  <c r="J855" i="7"/>
  <c r="J856" i="7"/>
  <c r="J857" i="7"/>
  <c r="J858" i="7"/>
  <c r="J859" i="7"/>
  <c r="J860" i="7"/>
  <c r="J861" i="7"/>
  <c r="J862" i="7"/>
  <c r="J863" i="7"/>
  <c r="J864" i="7"/>
  <c r="J865" i="7"/>
  <c r="J866" i="7"/>
  <c r="J867" i="7"/>
  <c r="J868" i="7"/>
  <c r="J869" i="7"/>
  <c r="J870" i="7"/>
  <c r="J871" i="7"/>
  <c r="J872" i="7"/>
  <c r="J873" i="7"/>
  <c r="J874" i="7"/>
  <c r="J875" i="7"/>
  <c r="J876" i="7"/>
  <c r="J877" i="7"/>
  <c r="J878" i="7"/>
  <c r="J879" i="7"/>
  <c r="J880" i="7"/>
  <c r="J881" i="7"/>
  <c r="J882" i="7"/>
  <c r="J883" i="7"/>
  <c r="J884" i="7"/>
  <c r="J885" i="7"/>
  <c r="J886" i="7"/>
  <c r="J887" i="7"/>
  <c r="J888" i="7"/>
  <c r="J889" i="7"/>
  <c r="J890" i="7"/>
  <c r="J891" i="7"/>
  <c r="J892" i="7"/>
  <c r="J893" i="7"/>
  <c r="J894" i="7"/>
  <c r="J895" i="7"/>
  <c r="J896" i="7"/>
  <c r="J897" i="7"/>
  <c r="J898" i="7"/>
  <c r="J899" i="7"/>
  <c r="J900" i="7"/>
  <c r="J901" i="7"/>
  <c r="J902" i="7"/>
  <c r="J903" i="7"/>
  <c r="J904" i="7"/>
  <c r="J905" i="7"/>
  <c r="J906" i="7"/>
  <c r="J907" i="7"/>
  <c r="J908" i="7"/>
  <c r="J909" i="7"/>
  <c r="J910" i="7"/>
  <c r="J911" i="7"/>
  <c r="J912" i="7"/>
  <c r="J913" i="7"/>
  <c r="J914" i="7"/>
  <c r="J915" i="7"/>
  <c r="J916" i="7"/>
  <c r="J917" i="7"/>
  <c r="J918" i="7"/>
  <c r="J919" i="7"/>
  <c r="J920" i="7"/>
  <c r="J921" i="7"/>
  <c r="J922" i="7"/>
  <c r="J923" i="7"/>
  <c r="J924" i="7"/>
  <c r="J925" i="7"/>
  <c r="J926" i="7"/>
  <c r="J927" i="7"/>
  <c r="J928" i="7"/>
  <c r="J929" i="7"/>
  <c r="J930" i="7"/>
  <c r="J931" i="7"/>
  <c r="J932" i="7"/>
  <c r="J933" i="7"/>
  <c r="J934" i="7"/>
  <c r="J935" i="7"/>
  <c r="J936" i="7"/>
  <c r="J937" i="7"/>
  <c r="J938" i="7"/>
  <c r="J939" i="7"/>
  <c r="J940" i="7"/>
  <c r="J941" i="7"/>
  <c r="J942" i="7"/>
  <c r="J943" i="7"/>
  <c r="J944" i="7"/>
  <c r="J945" i="7"/>
  <c r="J946" i="7"/>
  <c r="J947" i="7"/>
  <c r="J948" i="7"/>
  <c r="J949" i="7"/>
  <c r="J950" i="7"/>
  <c r="J951" i="7"/>
  <c r="J952" i="7"/>
  <c r="J953" i="7"/>
  <c r="J954" i="7"/>
  <c r="J955" i="7"/>
  <c r="J956" i="7"/>
  <c r="J957" i="7"/>
  <c r="J958" i="7"/>
  <c r="J959" i="7"/>
  <c r="J960" i="7"/>
  <c r="J961" i="7"/>
  <c r="J962" i="7"/>
  <c r="J963" i="7"/>
  <c r="J964" i="7"/>
  <c r="J965" i="7"/>
  <c r="J966" i="7"/>
  <c r="J967" i="7"/>
  <c r="J968" i="7"/>
  <c r="J969" i="7"/>
  <c r="J970" i="7"/>
  <c r="J971" i="7"/>
  <c r="J972" i="7"/>
  <c r="J973" i="7"/>
  <c r="J974" i="7"/>
  <c r="J975" i="7"/>
  <c r="J976" i="7"/>
  <c r="J977" i="7"/>
  <c r="J978" i="7"/>
  <c r="J979" i="7"/>
  <c r="J980" i="7"/>
  <c r="J981" i="7"/>
  <c r="J982" i="7"/>
  <c r="J983" i="7"/>
  <c r="J984" i="7"/>
  <c r="J985" i="7"/>
  <c r="J986" i="7"/>
  <c r="J987" i="7"/>
  <c r="J988" i="7"/>
  <c r="J989" i="7"/>
  <c r="J990" i="7"/>
  <c r="J991" i="7"/>
  <c r="J992" i="7"/>
  <c r="J993" i="7"/>
  <c r="J994" i="7"/>
  <c r="J995" i="7"/>
  <c r="J996" i="7"/>
  <c r="J997" i="7"/>
  <c r="J998" i="7"/>
  <c r="J999" i="7"/>
  <c r="J1000" i="7"/>
  <c r="J1001" i="7"/>
  <c r="J1002" i="7"/>
  <c r="J1003" i="7"/>
  <c r="J1004" i="7"/>
  <c r="J1005" i="7"/>
  <c r="J1006" i="7"/>
  <c r="J1007" i="7"/>
  <c r="J1008" i="7"/>
  <c r="J1009" i="7"/>
  <c r="J1010" i="7"/>
  <c r="J1011" i="7"/>
  <c r="J1012" i="7"/>
  <c r="J1013" i="7"/>
  <c r="J1014" i="7"/>
  <c r="J1015" i="7"/>
  <c r="J1016" i="7"/>
  <c r="J1017" i="7"/>
  <c r="J1018" i="7"/>
  <c r="J1019" i="7"/>
  <c r="J1020" i="7"/>
  <c r="J1021" i="7"/>
  <c r="J1022" i="7"/>
  <c r="J1023" i="7"/>
  <c r="J1024" i="7"/>
  <c r="J1025" i="7"/>
  <c r="J1026" i="7"/>
  <c r="J1027" i="7"/>
  <c r="J1028" i="7"/>
  <c r="J1029" i="7"/>
  <c r="J1030" i="7"/>
  <c r="J1031" i="7"/>
  <c r="J1032" i="7"/>
  <c r="J1033" i="7"/>
  <c r="J1034" i="7"/>
  <c r="J1035" i="7"/>
  <c r="J1036" i="7"/>
  <c r="J1037" i="7"/>
  <c r="J1038" i="7"/>
  <c r="J1039" i="7"/>
  <c r="J1040" i="7"/>
  <c r="J1041" i="7"/>
  <c r="J1042" i="7"/>
  <c r="J1043" i="7"/>
  <c r="J1044" i="7"/>
  <c r="J1045" i="7"/>
  <c r="J1046" i="7"/>
  <c r="J1047" i="7"/>
  <c r="J1048" i="7"/>
  <c r="J1049" i="7"/>
  <c r="J1050" i="7"/>
  <c r="J1051" i="7"/>
  <c r="J1052" i="7"/>
  <c r="J1053" i="7"/>
  <c r="J1054" i="7"/>
  <c r="J1055" i="7"/>
  <c r="J1056" i="7"/>
  <c r="J1057" i="7"/>
  <c r="J1058" i="7"/>
  <c r="J1059" i="7"/>
  <c r="J1060" i="7"/>
  <c r="J1061" i="7"/>
  <c r="J1062" i="7"/>
  <c r="J1063" i="7"/>
  <c r="J1064" i="7"/>
  <c r="J1065" i="7"/>
  <c r="J1066" i="7"/>
  <c r="J1067" i="7"/>
  <c r="J1068" i="7"/>
  <c r="J1069" i="7"/>
  <c r="J1070" i="7"/>
  <c r="J1071" i="7"/>
  <c r="J1072" i="7"/>
  <c r="J1073" i="7"/>
  <c r="J1074" i="7"/>
  <c r="J1075" i="7"/>
  <c r="J1076" i="7"/>
  <c r="J1077" i="7"/>
  <c r="J1078" i="7"/>
  <c r="J1079" i="7"/>
  <c r="J1080" i="7"/>
  <c r="J1081" i="7"/>
  <c r="J1082" i="7"/>
  <c r="J1083" i="7"/>
  <c r="J1084" i="7"/>
  <c r="J1085" i="7"/>
  <c r="J1086" i="7"/>
  <c r="J1087" i="7"/>
  <c r="J1088" i="7"/>
  <c r="J1089" i="7"/>
  <c r="J1090" i="7"/>
  <c r="J1091" i="7"/>
  <c r="J1092" i="7"/>
  <c r="J1093" i="7"/>
  <c r="J1094" i="7"/>
  <c r="J1095" i="7"/>
  <c r="J1096" i="7"/>
  <c r="J1097" i="7"/>
  <c r="J1098" i="7"/>
  <c r="J1099" i="7"/>
  <c r="J1100" i="7"/>
  <c r="J1101" i="7"/>
  <c r="J1102" i="7"/>
  <c r="J1103" i="7"/>
  <c r="J1104" i="7"/>
  <c r="J1105" i="7"/>
  <c r="J1106" i="7"/>
  <c r="J1107" i="7"/>
  <c r="J1108" i="7"/>
  <c r="J1109" i="7"/>
  <c r="J1110" i="7"/>
  <c r="J1111" i="7"/>
  <c r="J1112" i="7"/>
  <c r="J1113" i="7"/>
  <c r="J1114" i="7"/>
  <c r="J1115" i="7"/>
  <c r="J1116" i="7"/>
  <c r="J1117" i="7"/>
  <c r="J1118" i="7"/>
  <c r="J1119" i="7"/>
  <c r="J1120" i="7"/>
  <c r="J1121" i="7"/>
  <c r="J1122" i="7"/>
  <c r="J1123" i="7"/>
  <c r="J1124" i="7"/>
  <c r="J1125" i="7"/>
  <c r="J1126" i="7"/>
  <c r="J1127" i="7"/>
  <c r="J1128" i="7"/>
  <c r="J1129" i="7"/>
  <c r="J1130" i="7"/>
  <c r="J1131" i="7"/>
  <c r="J1132" i="7"/>
  <c r="J1133" i="7"/>
  <c r="J1134" i="7"/>
  <c r="J1135" i="7"/>
  <c r="J1136" i="7"/>
  <c r="J1137" i="7"/>
  <c r="J1138" i="7"/>
  <c r="J1139" i="7"/>
  <c r="J1140" i="7"/>
  <c r="J1141" i="7"/>
  <c r="J1142" i="7"/>
  <c r="J1143" i="7"/>
  <c r="J1144" i="7"/>
  <c r="J1145" i="7"/>
  <c r="J1146" i="7"/>
  <c r="J1147" i="7"/>
  <c r="J1148" i="7"/>
  <c r="J1149" i="7"/>
  <c r="J1150" i="7"/>
  <c r="J1151" i="7"/>
  <c r="J1152" i="7"/>
  <c r="J1153" i="7"/>
  <c r="J1154" i="7"/>
  <c r="J1155" i="7"/>
  <c r="J1156" i="7"/>
  <c r="J1157" i="7"/>
  <c r="J1158" i="7"/>
  <c r="J1159" i="7"/>
  <c r="J1160" i="7"/>
  <c r="J1161" i="7"/>
  <c r="J1162" i="7"/>
  <c r="J1163" i="7"/>
  <c r="J1164" i="7"/>
  <c r="J1165" i="7"/>
  <c r="J1166" i="7"/>
  <c r="J1167" i="7"/>
  <c r="J1168" i="7"/>
  <c r="J1169" i="7"/>
  <c r="J1170" i="7"/>
  <c r="J1171" i="7"/>
  <c r="J1172" i="7"/>
  <c r="J1173" i="7"/>
  <c r="J1174" i="7"/>
  <c r="J1175" i="7"/>
  <c r="J1176" i="7"/>
  <c r="J1177" i="7"/>
  <c r="J1178" i="7"/>
  <c r="J1179" i="7"/>
  <c r="J1180" i="7"/>
  <c r="J1181" i="7"/>
  <c r="J1182" i="7"/>
  <c r="J1183" i="7"/>
  <c r="J1184" i="7"/>
  <c r="J1185" i="7"/>
  <c r="J1186" i="7"/>
  <c r="J1187" i="7"/>
  <c r="J1188" i="7"/>
  <c r="J1189" i="7"/>
  <c r="J1190" i="7"/>
  <c r="J1191" i="7"/>
  <c r="J1192" i="7"/>
  <c r="J1193" i="7"/>
  <c r="J1194" i="7"/>
  <c r="J1195" i="7"/>
  <c r="J1196" i="7"/>
  <c r="J1197" i="7"/>
  <c r="J1198" i="7"/>
  <c r="J1199" i="7"/>
  <c r="J1200" i="7"/>
  <c r="J1201" i="7"/>
  <c r="J1202" i="7"/>
  <c r="J1203" i="7"/>
  <c r="J1204" i="7"/>
  <c r="J1205" i="7"/>
  <c r="J1206" i="7"/>
  <c r="J1207" i="7"/>
  <c r="J1208" i="7"/>
  <c r="J1209" i="7"/>
  <c r="J1210" i="7"/>
  <c r="J1211" i="7"/>
  <c r="J1212" i="7"/>
  <c r="J1213" i="7"/>
  <c r="J1214" i="7"/>
  <c r="J1215" i="7"/>
  <c r="J1216" i="7"/>
  <c r="J1217" i="7"/>
  <c r="J1218" i="7"/>
  <c r="J1219" i="7"/>
  <c r="J1220" i="7"/>
  <c r="J1221" i="7"/>
  <c r="J1222" i="7"/>
  <c r="J1223" i="7"/>
  <c r="J1224" i="7"/>
  <c r="J1225" i="7"/>
  <c r="J1226" i="7"/>
  <c r="J1227" i="7"/>
  <c r="J1228" i="7"/>
  <c r="J1229" i="7"/>
  <c r="J1230" i="7"/>
  <c r="J1231" i="7"/>
  <c r="J1232" i="7"/>
  <c r="J1233" i="7"/>
  <c r="J1234" i="7"/>
  <c r="J1235" i="7"/>
  <c r="J1236" i="7"/>
  <c r="J1237" i="7"/>
  <c r="J1238" i="7"/>
  <c r="J1239" i="7"/>
  <c r="J1240" i="7"/>
  <c r="J1241" i="7"/>
  <c r="J1242" i="7"/>
  <c r="J1243" i="7"/>
  <c r="J1244" i="7"/>
  <c r="J1245" i="7"/>
  <c r="J1246" i="7"/>
  <c r="J1247" i="7"/>
  <c r="J1248" i="7"/>
  <c r="J1249" i="7"/>
  <c r="J1250" i="7"/>
  <c r="J1251" i="7"/>
  <c r="J1252" i="7"/>
  <c r="K2"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L2"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C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A4E5CC-20E6-422D-8693-79AEFC596D6C}" keepAlive="1" name="Query - Call Center Data" description="Connection to the 'Call Center Data' query in the workbook." type="5" refreshedVersion="7" background="1" saveData="1">
    <dbPr connection="Provider=Microsoft.Mashup.OleDb.1;Data Source=$Workbook$;Location=&quot;Call Center Data&quot;;Extended Properties=&quot;&quot;" command="SELECT * FROM [Call Center Data]"/>
  </connection>
</connections>
</file>

<file path=xl/sharedStrings.xml><?xml version="1.0" encoding="utf-8"?>
<sst xmlns="http://schemas.openxmlformats.org/spreadsheetml/2006/main" count="1406" uniqueCount="99">
  <si>
    <t>Call Timestamp</t>
  </si>
  <si>
    <t>Emp Name</t>
  </si>
  <si>
    <t>Site</t>
  </si>
  <si>
    <t>Manager Name</t>
  </si>
  <si>
    <t>Jill Simons</t>
  </si>
  <si>
    <t>Spokane, WA</t>
  </si>
  <si>
    <t>Jenny Rhodes</t>
  </si>
  <si>
    <t>Billing</t>
  </si>
  <si>
    <t>Ultor John</t>
  </si>
  <si>
    <t>John Mack</t>
  </si>
  <si>
    <t>Tina John</t>
  </si>
  <si>
    <t>Aurora, CO</t>
  </si>
  <si>
    <t>Timmy Rhodes</t>
  </si>
  <si>
    <t>Tech Sup</t>
  </si>
  <si>
    <t>Tina Pat</t>
  </si>
  <si>
    <t>John Hall</t>
  </si>
  <si>
    <t>Tina Saab</t>
  </si>
  <si>
    <t>Henry Baas</t>
  </si>
  <si>
    <t>Sam Gilder</t>
  </si>
  <si>
    <t>Sales</t>
  </si>
  <si>
    <t>Jill Pat</t>
  </si>
  <si>
    <t>Timmy Hall</t>
  </si>
  <si>
    <t>Sam Pat</t>
  </si>
  <si>
    <t>Henry Rhodes</t>
  </si>
  <si>
    <t>Ultor Pat</t>
  </si>
  <si>
    <t>Henry Mack</t>
  </si>
  <si>
    <t>Jenny Hall</t>
  </si>
  <si>
    <t>John Gill</t>
  </si>
  <si>
    <t>Henry Gill</t>
  </si>
  <si>
    <t>Jill John</t>
  </si>
  <si>
    <t>Gina John</t>
  </si>
  <si>
    <t>Gina Pat</t>
  </si>
  <si>
    <t>Henry Hall</t>
  </si>
  <si>
    <t>Pierce Baas</t>
  </si>
  <si>
    <t>Timmy Mack</t>
  </si>
  <si>
    <t>Ultor Saab</t>
  </si>
  <si>
    <t>Sam Saab</t>
  </si>
  <si>
    <t>Jill Saab</t>
  </si>
  <si>
    <t>Gina Simons</t>
  </si>
  <si>
    <t>Timmy Gill</t>
  </si>
  <si>
    <t>Tina Simons</t>
  </si>
  <si>
    <t>Sam Simons</t>
  </si>
  <si>
    <t>Ultor Gilder</t>
  </si>
  <si>
    <t>John Rhodes</t>
  </si>
  <si>
    <t>Pierce Gill</t>
  </si>
  <si>
    <t>John Baas</t>
  </si>
  <si>
    <t>Ultor Simons</t>
  </si>
  <si>
    <t>Pierce Mack</t>
  </si>
  <si>
    <t>Sam John</t>
  </si>
  <si>
    <t>Tina Gilder</t>
  </si>
  <si>
    <t>Pierce Hall</t>
  </si>
  <si>
    <t>Jill Gilder</t>
  </si>
  <si>
    <t>Jenny Mack</t>
  </si>
  <si>
    <t>Gina Saab</t>
  </si>
  <si>
    <t>Gina Gilder</t>
  </si>
  <si>
    <t>Timmy Baas</t>
  </si>
  <si>
    <t>Jenny Baas</t>
  </si>
  <si>
    <t>Jenny Gill</t>
  </si>
  <si>
    <t>Pierce Rhodes</t>
  </si>
  <si>
    <t>Report Date</t>
  </si>
  <si>
    <t>Answer Speed SECS (AVG)</t>
  </si>
  <si>
    <t>Talk Duration SECS (AVG)</t>
  </si>
  <si>
    <t>Waiting Time SECS (AVG)</t>
  </si>
  <si>
    <t>Emp ID</t>
  </si>
  <si>
    <t>T244</t>
  </si>
  <si>
    <t>Y857</t>
  </si>
  <si>
    <t>U834</t>
  </si>
  <si>
    <t>T857</t>
  </si>
  <si>
    <t>Y847</t>
  </si>
  <si>
    <t>Y983</t>
  </si>
  <si>
    <t>U109</t>
  </si>
  <si>
    <t>T609</t>
  </si>
  <si>
    <t>T095</t>
  </si>
  <si>
    <t>U789</t>
  </si>
  <si>
    <t>Y092</t>
  </si>
  <si>
    <t>U345</t>
  </si>
  <si>
    <t>T980</t>
  </si>
  <si>
    <t>Y784</t>
  </si>
  <si>
    <t>U092</t>
  </si>
  <si>
    <t>T999</t>
  </si>
  <si>
    <t>U486</t>
  </si>
  <si>
    <t>U546</t>
  </si>
  <si>
    <t>Y099</t>
  </si>
  <si>
    <t>T367</t>
  </si>
  <si>
    <t>Y674</t>
  </si>
  <si>
    <t>U533</t>
  </si>
  <si>
    <t>T562</t>
  </si>
  <si>
    <t>U466</t>
  </si>
  <si>
    <t>Y341</t>
  </si>
  <si>
    <t>Jacksonville, WA</t>
  </si>
  <si>
    <t>Call Type ID</t>
  </si>
  <si>
    <t>Call Type Desc</t>
  </si>
  <si>
    <t>Call ID</t>
  </si>
  <si>
    <t>Abandoned Call</t>
  </si>
  <si>
    <t>Row Labels</t>
  </si>
  <si>
    <t>Grand Total</t>
  </si>
  <si>
    <t>Calls Answered</t>
  </si>
  <si>
    <t>Average of Call Duration</t>
  </si>
  <si>
    <t>Calls Abandoned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</si>
</sst>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5"/>
      <color theme="3"/>
      <name val="Calibri"/>
      <family val="2"/>
      <scheme val="minor"/>
    </font>
    <font>
      <sz val="11"/>
      <color theme="1"/>
      <name val="Amasis MT Pro Black"/>
      <family val="1"/>
    </font>
    <font>
      <b/>
      <sz val="15"/>
      <color theme="0"/>
      <name val="Calibri"/>
      <family val="2"/>
      <scheme val="minor"/>
    </font>
  </fonts>
  <fills count="4">
    <fill>
      <patternFill patternType="none"/>
    </fill>
    <fill>
      <patternFill patternType="gray125"/>
    </fill>
    <fill>
      <patternFill patternType="solid">
        <fgColor theme="4"/>
      </patternFill>
    </fill>
    <fill>
      <patternFill patternType="solid">
        <fgColor theme="8" tint="0.59999389629810485"/>
        <bgColor indexed="65"/>
      </patternFill>
    </fill>
  </fills>
  <borders count="3">
    <border>
      <left/>
      <right/>
      <top/>
      <bottom/>
      <diagonal/>
    </border>
    <border>
      <left/>
      <right/>
      <top/>
      <bottom style="thick">
        <color theme="4"/>
      </bottom>
      <diagonal/>
    </border>
    <border>
      <left/>
      <right/>
      <top style="thin">
        <color theme="9" tint="0.39997558519241921"/>
      </top>
      <bottom style="thin">
        <color theme="9" tint="0.39997558519241921"/>
      </bottom>
      <diagonal/>
    </border>
  </borders>
  <cellStyleXfs count="3">
    <xf numFmtId="0" fontId="0" fillId="0" borderId="0"/>
    <xf numFmtId="0" fontId="2" fillId="0" borderId="1" applyNumberFormat="0" applyFill="0" applyAlignment="0" applyProtection="0"/>
    <xf numFmtId="0" fontId="1" fillId="3" borderId="0" applyNumberFormat="0" applyBorder="0" applyAlignment="0" applyProtection="0"/>
  </cellStyleXfs>
  <cellXfs count="10">
    <xf numFmtId="0" fontId="0" fillId="0" borderId="0" xfId="0"/>
    <xf numFmtId="14" fontId="0" fillId="0" borderId="0" xfId="0" applyNumberFormat="1"/>
    <xf numFmtId="0" fontId="0" fillId="0" borderId="0" xfId="0" applyNumberFormat="1"/>
    <xf numFmtId="0" fontId="0" fillId="0" borderId="2" xfId="0" applyNumberFormat="1" applyFont="1" applyBorder="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14" fontId="3" fillId="3" borderId="0" xfId="2" applyNumberFormat="1" applyFont="1"/>
    <xf numFmtId="0" fontId="4" fillId="2" borderId="1" xfId="1" applyFont="1" applyFill="1"/>
  </cellXfs>
  <cellStyles count="3">
    <cellStyle name="40% - Accent5" xfId="2" builtinId="47"/>
    <cellStyle name="Heading 1" xfId="1" builtinId="16"/>
    <cellStyle name="Normal" xfId="0" builtinId="0"/>
  </cellStyles>
  <dxfs count="8">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5</xdr:col>
      <xdr:colOff>251460</xdr:colOff>
      <xdr:row>3</xdr:row>
      <xdr:rowOff>1</xdr:rowOff>
    </xdr:from>
    <xdr:to>
      <xdr:col>8</xdr:col>
      <xdr:colOff>274320</xdr:colOff>
      <xdr:row>9</xdr:row>
      <xdr:rowOff>121921</xdr:rowOff>
    </xdr:to>
    <mc:AlternateContent xmlns:mc="http://schemas.openxmlformats.org/markup-compatibility/2006">
      <mc:Choice xmlns:a14="http://schemas.microsoft.com/office/drawing/2010/main" Requires="a14">
        <xdr:graphicFrame macro="">
          <xdr:nvGraphicFramePr>
            <xdr:cNvPr id="2" name="Call Type Desc">
              <a:extLst>
                <a:ext uri="{FF2B5EF4-FFF2-40B4-BE49-F238E27FC236}">
                  <a16:creationId xmlns:a16="http://schemas.microsoft.com/office/drawing/2014/main" id="{227C64DE-65E0-449B-9575-79E91C174747}"/>
                </a:ext>
              </a:extLst>
            </xdr:cNvPr>
            <xdr:cNvGraphicFramePr/>
          </xdr:nvGraphicFramePr>
          <xdr:xfrm>
            <a:off x="0" y="0"/>
            <a:ext cx="0" cy="0"/>
          </xdr:xfrm>
          <a:graphic>
            <a:graphicData uri="http://schemas.microsoft.com/office/drawing/2010/slicer">
              <sle:slicer xmlns:sle="http://schemas.microsoft.com/office/drawing/2010/slicer" name="Call Type Desc"/>
            </a:graphicData>
          </a:graphic>
        </xdr:graphicFrame>
      </mc:Choice>
      <mc:Fallback>
        <xdr:sp macro="" textlink="">
          <xdr:nvSpPr>
            <xdr:cNvPr id="0" name=""/>
            <xdr:cNvSpPr>
              <a:spLocks noTextEdit="1"/>
            </xdr:cNvSpPr>
          </xdr:nvSpPr>
          <xdr:spPr>
            <a:xfrm>
              <a:off x="5173980" y="632461"/>
              <a:ext cx="1851660" cy="12192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Patil" refreshedDate="44595.839066666667" createdVersion="7" refreshedVersion="7" minRefreshableVersion="3" recordCount="1251" xr:uid="{7FE946D5-0DBD-40E9-8051-C7F1EFE7222C}">
  <cacheSource type="worksheet">
    <worksheetSource name="Call_Center_Data"/>
  </cacheSource>
  <cacheFields count="12">
    <cacheField name="Call ID" numFmtId="0">
      <sharedItems containsSemiMixedTypes="0" containsString="0" containsNumber="1" containsInteger="1" minValue="1" maxValue="1251"/>
    </cacheField>
    <cacheField name="Call Type ID" numFmtId="0">
      <sharedItems containsSemiMixedTypes="0" containsString="0" containsNumber="1" containsInteger="1" minValue="1" maxValue="3"/>
    </cacheField>
    <cacheField name="Call Timestamp" numFmtId="14">
      <sharedItems containsSemiMixedTypes="0" containsNonDate="0" containsDate="1" containsString="0" minDate="2022-02-03T00:00:00" maxDate="2025-07-08T00:00:00"/>
    </cacheField>
    <cacheField name="Emp ID" numFmtId="0">
      <sharedItems/>
    </cacheField>
    <cacheField name="Abandoned Call" numFmtId="0">
      <sharedItems containsSemiMixedTypes="0" containsString="0" containsNumber="1" containsInteger="1" minValue="0" maxValue="1"/>
    </cacheField>
    <cacheField name="Answer Speed SECS (AVG)" numFmtId="0">
      <sharedItems containsSemiMixedTypes="0" containsString="0" containsNumber="1" containsInteger="1" minValue="2" maxValue="308"/>
    </cacheField>
    <cacheField name="Talk Duration SECS (AVG)" numFmtId="0">
      <sharedItems containsSemiMixedTypes="0" containsString="0" containsNumber="1" containsInteger="1" minValue="57" maxValue="288"/>
    </cacheField>
    <cacheField name="Waiting Time SECS (AVG)" numFmtId="0">
      <sharedItems containsSemiMixedTypes="0" containsString="0" containsNumber="1" containsInteger="1" minValue="3" maxValue="1551"/>
    </cacheField>
    <cacheField name="Emp Name" numFmtId="0">
      <sharedItems count="25">
        <s v="Jill Simons"/>
        <s v="Ultor John"/>
        <s v="Tina John"/>
        <s v="Tina Pat"/>
        <s v="Tina Saab"/>
        <s v="Sam Gilder"/>
        <s v="Jill Pat"/>
        <s v="Sam Pat"/>
        <s v="Ultor Pat"/>
        <s v="Jill John"/>
        <s v="Gina John"/>
        <s v="Gina Pat"/>
        <s v="Ultor Saab"/>
        <s v="Sam Saab"/>
        <s v="Jill Saab"/>
        <s v="Gina Simons"/>
        <s v="Tina Simons"/>
        <s v="Sam Simons"/>
        <s v="Ultor Gilder"/>
        <s v="Ultor Simons"/>
        <s v="Sam John"/>
        <s v="Tina Gilder"/>
        <s v="Jill Gilder"/>
        <s v="Gina Saab"/>
        <s v="Gina Gilder"/>
      </sharedItems>
    </cacheField>
    <cacheField name="Site" numFmtId="0">
      <sharedItems count="3">
        <s v="Spokane, WA"/>
        <s v="Aurora, CO"/>
        <s v="Jacksonville, WA"/>
      </sharedItems>
    </cacheField>
    <cacheField name="Manager Name" numFmtId="0">
      <sharedItems count="25">
        <s v="Jenny Rhodes"/>
        <s v="John Mack"/>
        <s v="Timmy Rhodes"/>
        <s v="John Hall"/>
        <s v="Henry Baas"/>
        <s v="Timmy Hall"/>
        <s v="Henry Rhodes"/>
        <s v="Henry Mack"/>
        <s v="Jenny Hall"/>
        <s v="John Gill"/>
        <s v="Henry Gill"/>
        <s v="Henry Hall"/>
        <s v="Pierce Baas"/>
        <s v="Timmy Mack"/>
        <s v="Timmy Gill"/>
        <s v="John Rhodes"/>
        <s v="Pierce Gill"/>
        <s v="John Baas"/>
        <s v="Pierce Mack"/>
        <s v="Pierce Hall"/>
        <s v="Jenny Mack"/>
        <s v="Timmy Baas"/>
        <s v="Jenny Baas"/>
        <s v="Jenny Gill"/>
        <s v="Pierce Rhodes"/>
      </sharedItems>
    </cacheField>
    <cacheField name="Call Type Desc" numFmtId="0">
      <sharedItems count="3">
        <s v="Billing"/>
        <s v="Tech Sup"/>
        <s v="Sales"/>
      </sharedItems>
    </cacheField>
  </cacheFields>
  <extLst>
    <ext xmlns:x14="http://schemas.microsoft.com/office/spreadsheetml/2009/9/main" uri="{725AE2AE-9491-48be-B2B4-4EB974FC3084}">
      <x14:pivotCacheDefinition pivotCacheId="15726990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1">
  <r>
    <n v="1"/>
    <n v="1"/>
    <d v="2022-02-03T00:00:00"/>
    <s v="T244"/>
    <n v="0"/>
    <n v="17"/>
    <n v="134"/>
    <n v="165"/>
    <x v="0"/>
    <x v="0"/>
    <x v="0"/>
    <x v="0"/>
  </r>
  <r>
    <n v="2"/>
    <n v="1"/>
    <d v="2022-02-04T00:00:00"/>
    <s v="Y857"/>
    <n v="0"/>
    <n v="20"/>
    <n v="142"/>
    <n v="415"/>
    <x v="1"/>
    <x v="0"/>
    <x v="1"/>
    <x v="0"/>
  </r>
  <r>
    <n v="3"/>
    <n v="3"/>
    <d v="2022-02-05T00:00:00"/>
    <s v="U834"/>
    <n v="0"/>
    <n v="18"/>
    <n v="158"/>
    <n v="230"/>
    <x v="2"/>
    <x v="1"/>
    <x v="2"/>
    <x v="1"/>
  </r>
  <r>
    <n v="4"/>
    <n v="1"/>
    <d v="2022-02-06T00:00:00"/>
    <s v="T857"/>
    <n v="1"/>
    <n v="15"/>
    <n v="149"/>
    <n v="192"/>
    <x v="3"/>
    <x v="2"/>
    <x v="3"/>
    <x v="0"/>
  </r>
  <r>
    <n v="5"/>
    <n v="3"/>
    <d v="2022-02-07T00:00:00"/>
    <s v="Y847"/>
    <n v="0"/>
    <n v="3"/>
    <n v="126"/>
    <n v="35"/>
    <x v="4"/>
    <x v="0"/>
    <x v="4"/>
    <x v="1"/>
  </r>
  <r>
    <n v="6"/>
    <n v="2"/>
    <d v="2022-02-08T00:00:00"/>
    <s v="Y983"/>
    <n v="0"/>
    <n v="18"/>
    <n v="95"/>
    <n v="157"/>
    <x v="5"/>
    <x v="2"/>
    <x v="5"/>
    <x v="2"/>
  </r>
  <r>
    <n v="7"/>
    <n v="2"/>
    <d v="2022-02-09T00:00:00"/>
    <s v="U109"/>
    <n v="1"/>
    <n v="13"/>
    <n v="110"/>
    <n v="122"/>
    <x v="6"/>
    <x v="1"/>
    <x v="6"/>
    <x v="2"/>
  </r>
  <r>
    <n v="8"/>
    <n v="3"/>
    <d v="2022-02-10T00:00:00"/>
    <s v="T609"/>
    <n v="1"/>
    <n v="10"/>
    <n v="130"/>
    <n v="202"/>
    <x v="7"/>
    <x v="1"/>
    <x v="7"/>
    <x v="1"/>
  </r>
  <r>
    <n v="9"/>
    <n v="1"/>
    <d v="2022-02-11T00:00:00"/>
    <s v="T095"/>
    <n v="0"/>
    <n v="15"/>
    <n v="138"/>
    <n v="372"/>
    <x v="8"/>
    <x v="2"/>
    <x v="8"/>
    <x v="0"/>
  </r>
  <r>
    <n v="10"/>
    <n v="3"/>
    <d v="2022-02-12T00:00:00"/>
    <s v="T095"/>
    <n v="1"/>
    <n v="19"/>
    <n v="100"/>
    <n v="209"/>
    <x v="8"/>
    <x v="2"/>
    <x v="8"/>
    <x v="1"/>
  </r>
  <r>
    <n v="11"/>
    <n v="1"/>
    <d v="2022-02-13T00:00:00"/>
    <s v="T609"/>
    <n v="0"/>
    <n v="12"/>
    <n v="130"/>
    <n v="166"/>
    <x v="7"/>
    <x v="1"/>
    <x v="7"/>
    <x v="0"/>
  </r>
  <r>
    <n v="12"/>
    <n v="1"/>
    <d v="2022-02-14T00:00:00"/>
    <s v="T244"/>
    <n v="0"/>
    <n v="2"/>
    <n v="123"/>
    <n v="3"/>
    <x v="0"/>
    <x v="0"/>
    <x v="0"/>
    <x v="0"/>
  </r>
  <r>
    <n v="13"/>
    <n v="1"/>
    <d v="2022-02-15T00:00:00"/>
    <s v="U789"/>
    <n v="1"/>
    <n v="8"/>
    <n v="109"/>
    <n v="138"/>
    <x v="9"/>
    <x v="0"/>
    <x v="9"/>
    <x v="0"/>
  </r>
  <r>
    <n v="14"/>
    <n v="2"/>
    <d v="2022-02-16T00:00:00"/>
    <s v="Y092"/>
    <n v="1"/>
    <n v="7"/>
    <n v="112"/>
    <n v="168"/>
    <x v="10"/>
    <x v="2"/>
    <x v="10"/>
    <x v="2"/>
  </r>
  <r>
    <n v="15"/>
    <n v="3"/>
    <d v="2022-02-17T00:00:00"/>
    <s v="U345"/>
    <n v="0"/>
    <n v="13"/>
    <n v="111"/>
    <n v="220"/>
    <x v="11"/>
    <x v="0"/>
    <x v="11"/>
    <x v="1"/>
  </r>
  <r>
    <n v="16"/>
    <n v="3"/>
    <d v="2022-02-18T00:00:00"/>
    <s v="T244"/>
    <n v="0"/>
    <n v="13"/>
    <n v="138"/>
    <n v="206"/>
    <x v="0"/>
    <x v="0"/>
    <x v="0"/>
    <x v="1"/>
  </r>
  <r>
    <n v="17"/>
    <n v="1"/>
    <d v="2022-02-19T00:00:00"/>
    <s v="U109"/>
    <n v="0"/>
    <n v="20"/>
    <n v="124"/>
    <n v="293"/>
    <x v="6"/>
    <x v="1"/>
    <x v="6"/>
    <x v="0"/>
  </r>
  <r>
    <n v="18"/>
    <n v="2"/>
    <d v="2022-02-20T00:00:00"/>
    <s v="T980"/>
    <n v="1"/>
    <n v="10"/>
    <n v="123"/>
    <n v="165"/>
    <x v="12"/>
    <x v="1"/>
    <x v="12"/>
    <x v="2"/>
  </r>
  <r>
    <n v="19"/>
    <n v="3"/>
    <d v="2022-02-21T00:00:00"/>
    <s v="Y784"/>
    <n v="0"/>
    <n v="2"/>
    <n v="124"/>
    <n v="55"/>
    <x v="13"/>
    <x v="1"/>
    <x v="13"/>
    <x v="1"/>
  </r>
  <r>
    <n v="20"/>
    <n v="2"/>
    <d v="2022-02-22T00:00:00"/>
    <s v="U092"/>
    <n v="1"/>
    <n v="26"/>
    <n v="163"/>
    <n v="388"/>
    <x v="14"/>
    <x v="0"/>
    <x v="14"/>
    <x v="2"/>
  </r>
  <r>
    <n v="21"/>
    <n v="3"/>
    <d v="2022-02-23T00:00:00"/>
    <s v="T999"/>
    <n v="1"/>
    <n v="15"/>
    <n v="136"/>
    <n v="279"/>
    <x v="15"/>
    <x v="0"/>
    <x v="15"/>
    <x v="1"/>
  </r>
  <r>
    <n v="22"/>
    <n v="3"/>
    <d v="2022-02-24T00:00:00"/>
    <s v="U092"/>
    <n v="0"/>
    <n v="10"/>
    <n v="129"/>
    <n v="220"/>
    <x v="14"/>
    <x v="0"/>
    <x v="14"/>
    <x v="1"/>
  </r>
  <r>
    <n v="23"/>
    <n v="2"/>
    <d v="2022-02-25T00:00:00"/>
    <s v="U486"/>
    <n v="0"/>
    <n v="15"/>
    <n v="145"/>
    <n v="189"/>
    <x v="16"/>
    <x v="1"/>
    <x v="16"/>
    <x v="2"/>
  </r>
  <r>
    <n v="24"/>
    <n v="2"/>
    <d v="2022-02-26T00:00:00"/>
    <s v="U834"/>
    <n v="1"/>
    <n v="10"/>
    <n v="147"/>
    <n v="216"/>
    <x v="2"/>
    <x v="1"/>
    <x v="2"/>
    <x v="2"/>
  </r>
  <r>
    <n v="25"/>
    <n v="3"/>
    <d v="2022-02-27T00:00:00"/>
    <s v="U546"/>
    <n v="1"/>
    <n v="18"/>
    <n v="146"/>
    <n v="278"/>
    <x v="17"/>
    <x v="2"/>
    <x v="17"/>
    <x v="1"/>
  </r>
  <r>
    <n v="26"/>
    <n v="1"/>
    <d v="2022-02-28T00:00:00"/>
    <s v="Y099"/>
    <n v="1"/>
    <n v="4"/>
    <n v="146"/>
    <n v="58"/>
    <x v="18"/>
    <x v="1"/>
    <x v="18"/>
    <x v="0"/>
  </r>
  <r>
    <n v="27"/>
    <n v="2"/>
    <d v="2022-03-01T00:00:00"/>
    <s v="Y847"/>
    <n v="0"/>
    <n v="10"/>
    <n v="143"/>
    <n v="165"/>
    <x v="4"/>
    <x v="0"/>
    <x v="4"/>
    <x v="2"/>
  </r>
  <r>
    <n v="28"/>
    <n v="2"/>
    <d v="2022-03-02T00:00:00"/>
    <s v="Y847"/>
    <n v="0"/>
    <n v="32"/>
    <n v="163"/>
    <n v="280"/>
    <x v="4"/>
    <x v="0"/>
    <x v="4"/>
    <x v="2"/>
  </r>
  <r>
    <n v="29"/>
    <n v="1"/>
    <d v="2022-03-03T00:00:00"/>
    <s v="U345"/>
    <n v="0"/>
    <n v="23"/>
    <n v="151"/>
    <n v="345"/>
    <x v="11"/>
    <x v="0"/>
    <x v="11"/>
    <x v="0"/>
  </r>
  <r>
    <n v="30"/>
    <n v="2"/>
    <d v="2022-03-04T00:00:00"/>
    <s v="T244"/>
    <n v="1"/>
    <n v="26"/>
    <n v="136"/>
    <n v="335"/>
    <x v="0"/>
    <x v="0"/>
    <x v="0"/>
    <x v="2"/>
  </r>
  <r>
    <n v="31"/>
    <n v="1"/>
    <d v="2022-03-05T00:00:00"/>
    <s v="T244"/>
    <n v="0"/>
    <n v="14"/>
    <n v="139"/>
    <n v="175"/>
    <x v="0"/>
    <x v="0"/>
    <x v="0"/>
    <x v="0"/>
  </r>
  <r>
    <n v="32"/>
    <n v="2"/>
    <d v="2022-03-06T00:00:00"/>
    <s v="T999"/>
    <n v="1"/>
    <n v="15"/>
    <n v="140"/>
    <n v="283"/>
    <x v="15"/>
    <x v="0"/>
    <x v="15"/>
    <x v="2"/>
  </r>
  <r>
    <n v="33"/>
    <n v="2"/>
    <d v="2022-03-07T00:00:00"/>
    <s v="U092"/>
    <n v="1"/>
    <n v="6"/>
    <n v="123"/>
    <n v="110"/>
    <x v="14"/>
    <x v="0"/>
    <x v="14"/>
    <x v="2"/>
  </r>
  <r>
    <n v="34"/>
    <n v="1"/>
    <d v="2022-03-08T00:00:00"/>
    <s v="T244"/>
    <n v="1"/>
    <n v="13"/>
    <n v="137"/>
    <n v="203"/>
    <x v="0"/>
    <x v="0"/>
    <x v="0"/>
    <x v="0"/>
  </r>
  <r>
    <n v="35"/>
    <n v="3"/>
    <d v="2022-03-09T00:00:00"/>
    <s v="Y099"/>
    <n v="0"/>
    <n v="24"/>
    <n v="144"/>
    <n v="199"/>
    <x v="18"/>
    <x v="1"/>
    <x v="18"/>
    <x v="1"/>
  </r>
  <r>
    <n v="36"/>
    <n v="2"/>
    <d v="2022-03-10T00:00:00"/>
    <s v="T367"/>
    <n v="1"/>
    <n v="15"/>
    <n v="136"/>
    <n v="293"/>
    <x v="19"/>
    <x v="2"/>
    <x v="19"/>
    <x v="2"/>
  </r>
  <r>
    <n v="37"/>
    <n v="1"/>
    <d v="2022-03-11T00:00:00"/>
    <s v="Y983"/>
    <n v="0"/>
    <n v="32"/>
    <n v="157"/>
    <n v="484"/>
    <x v="5"/>
    <x v="2"/>
    <x v="5"/>
    <x v="0"/>
  </r>
  <r>
    <n v="38"/>
    <n v="2"/>
    <d v="2022-03-12T00:00:00"/>
    <s v="T095"/>
    <n v="0"/>
    <n v="16"/>
    <n v="142"/>
    <n v="122"/>
    <x v="8"/>
    <x v="2"/>
    <x v="8"/>
    <x v="2"/>
  </r>
  <r>
    <n v="39"/>
    <n v="1"/>
    <d v="2022-03-13T00:00:00"/>
    <s v="U345"/>
    <n v="0"/>
    <n v="15"/>
    <n v="164"/>
    <n v="235"/>
    <x v="11"/>
    <x v="0"/>
    <x v="11"/>
    <x v="0"/>
  </r>
  <r>
    <n v="40"/>
    <n v="2"/>
    <d v="2022-03-14T00:00:00"/>
    <s v="Y674"/>
    <n v="0"/>
    <n v="9"/>
    <n v="136"/>
    <n v="52"/>
    <x v="20"/>
    <x v="1"/>
    <x v="20"/>
    <x v="2"/>
  </r>
  <r>
    <n v="41"/>
    <n v="2"/>
    <d v="2022-03-15T00:00:00"/>
    <s v="U533"/>
    <n v="0"/>
    <n v="20"/>
    <n v="131"/>
    <n v="190"/>
    <x v="21"/>
    <x v="0"/>
    <x v="21"/>
    <x v="2"/>
  </r>
  <r>
    <n v="42"/>
    <n v="2"/>
    <d v="2022-03-16T00:00:00"/>
    <s v="T367"/>
    <n v="0"/>
    <n v="16"/>
    <n v="146"/>
    <n v="587"/>
    <x v="19"/>
    <x v="2"/>
    <x v="19"/>
    <x v="2"/>
  </r>
  <r>
    <n v="43"/>
    <n v="1"/>
    <d v="2022-03-17T00:00:00"/>
    <s v="Y784"/>
    <n v="1"/>
    <n v="10"/>
    <n v="128"/>
    <n v="70"/>
    <x v="13"/>
    <x v="1"/>
    <x v="13"/>
    <x v="0"/>
  </r>
  <r>
    <n v="44"/>
    <n v="2"/>
    <d v="2022-03-18T00:00:00"/>
    <s v="T562"/>
    <n v="1"/>
    <n v="11"/>
    <n v="144"/>
    <n v="277"/>
    <x v="22"/>
    <x v="1"/>
    <x v="22"/>
    <x v="2"/>
  </r>
  <r>
    <n v="45"/>
    <n v="1"/>
    <d v="2022-03-19T00:00:00"/>
    <s v="Y857"/>
    <n v="0"/>
    <n v="7"/>
    <n v="138"/>
    <n v="71"/>
    <x v="1"/>
    <x v="0"/>
    <x v="1"/>
    <x v="0"/>
  </r>
  <r>
    <n v="46"/>
    <n v="2"/>
    <d v="2022-03-20T00:00:00"/>
    <s v="U789"/>
    <n v="1"/>
    <n v="8"/>
    <n v="151"/>
    <n v="73"/>
    <x v="9"/>
    <x v="0"/>
    <x v="9"/>
    <x v="2"/>
  </r>
  <r>
    <n v="47"/>
    <n v="1"/>
    <d v="2022-03-21T00:00:00"/>
    <s v="Y857"/>
    <n v="0"/>
    <n v="12"/>
    <n v="142"/>
    <n v="130"/>
    <x v="1"/>
    <x v="0"/>
    <x v="1"/>
    <x v="0"/>
  </r>
  <r>
    <n v="48"/>
    <n v="3"/>
    <d v="2022-03-22T00:00:00"/>
    <s v="U789"/>
    <n v="1"/>
    <n v="5"/>
    <n v="133"/>
    <n v="74"/>
    <x v="9"/>
    <x v="0"/>
    <x v="9"/>
    <x v="1"/>
  </r>
  <r>
    <n v="49"/>
    <n v="2"/>
    <d v="2022-03-23T00:00:00"/>
    <s v="Y784"/>
    <n v="0"/>
    <n v="5"/>
    <n v="139"/>
    <n v="58"/>
    <x v="13"/>
    <x v="1"/>
    <x v="13"/>
    <x v="2"/>
  </r>
  <r>
    <n v="50"/>
    <n v="1"/>
    <d v="2022-03-24T00:00:00"/>
    <s v="U466"/>
    <n v="0"/>
    <n v="5"/>
    <n v="134"/>
    <n v="58"/>
    <x v="23"/>
    <x v="2"/>
    <x v="23"/>
    <x v="0"/>
  </r>
  <r>
    <n v="51"/>
    <n v="1"/>
    <d v="2022-03-25T00:00:00"/>
    <s v="U546"/>
    <n v="1"/>
    <n v="3"/>
    <n v="146"/>
    <n v="55"/>
    <x v="17"/>
    <x v="2"/>
    <x v="17"/>
    <x v="0"/>
  </r>
  <r>
    <n v="52"/>
    <n v="2"/>
    <d v="2022-03-26T00:00:00"/>
    <s v="T562"/>
    <n v="0"/>
    <n v="5"/>
    <n v="144"/>
    <n v="133"/>
    <x v="22"/>
    <x v="1"/>
    <x v="22"/>
    <x v="2"/>
  </r>
  <r>
    <n v="53"/>
    <n v="3"/>
    <d v="2022-03-27T00:00:00"/>
    <s v="Y341"/>
    <n v="1"/>
    <n v="15"/>
    <n v="134"/>
    <n v="111"/>
    <x v="24"/>
    <x v="2"/>
    <x v="24"/>
    <x v="1"/>
  </r>
  <r>
    <n v="54"/>
    <n v="3"/>
    <d v="2022-03-28T00:00:00"/>
    <s v="Y674"/>
    <n v="0"/>
    <n v="6"/>
    <n v="142"/>
    <n v="52"/>
    <x v="20"/>
    <x v="1"/>
    <x v="20"/>
    <x v="1"/>
  </r>
  <r>
    <n v="55"/>
    <n v="1"/>
    <d v="2022-03-29T00:00:00"/>
    <s v="U092"/>
    <n v="0"/>
    <n v="14"/>
    <n v="136"/>
    <n v="113"/>
    <x v="14"/>
    <x v="0"/>
    <x v="14"/>
    <x v="0"/>
  </r>
  <r>
    <n v="56"/>
    <n v="2"/>
    <d v="2022-03-30T00:00:00"/>
    <s v="U345"/>
    <n v="0"/>
    <n v="12"/>
    <n v="144"/>
    <n v="117"/>
    <x v="11"/>
    <x v="0"/>
    <x v="11"/>
    <x v="2"/>
  </r>
  <r>
    <n v="57"/>
    <n v="3"/>
    <d v="2022-03-31T00:00:00"/>
    <s v="T244"/>
    <n v="1"/>
    <n v="26"/>
    <n v="136"/>
    <n v="187"/>
    <x v="0"/>
    <x v="0"/>
    <x v="0"/>
    <x v="1"/>
  </r>
  <r>
    <n v="58"/>
    <n v="3"/>
    <d v="2022-04-01T00:00:00"/>
    <s v="Y674"/>
    <n v="0"/>
    <n v="9"/>
    <n v="145"/>
    <n v="140"/>
    <x v="20"/>
    <x v="1"/>
    <x v="20"/>
    <x v="1"/>
  </r>
  <r>
    <n v="59"/>
    <n v="3"/>
    <d v="2022-04-02T00:00:00"/>
    <s v="T367"/>
    <n v="0"/>
    <n v="17"/>
    <n v="137"/>
    <n v="153"/>
    <x v="19"/>
    <x v="2"/>
    <x v="19"/>
    <x v="1"/>
  </r>
  <r>
    <n v="60"/>
    <n v="2"/>
    <d v="2022-04-03T00:00:00"/>
    <s v="T562"/>
    <n v="1"/>
    <n v="18"/>
    <n v="147"/>
    <n v="249"/>
    <x v="22"/>
    <x v="1"/>
    <x v="22"/>
    <x v="2"/>
  </r>
  <r>
    <n v="61"/>
    <n v="1"/>
    <d v="2022-04-04T00:00:00"/>
    <s v="Y099"/>
    <n v="0"/>
    <n v="7"/>
    <n v="107"/>
    <n v="220"/>
    <x v="18"/>
    <x v="1"/>
    <x v="18"/>
    <x v="0"/>
  </r>
  <r>
    <n v="62"/>
    <n v="2"/>
    <d v="2022-04-05T00:00:00"/>
    <s v="Y983"/>
    <n v="1"/>
    <n v="10"/>
    <n v="138"/>
    <n v="169"/>
    <x v="5"/>
    <x v="2"/>
    <x v="5"/>
    <x v="2"/>
  </r>
  <r>
    <n v="63"/>
    <n v="3"/>
    <d v="2022-04-06T00:00:00"/>
    <s v="Y099"/>
    <n v="1"/>
    <n v="8"/>
    <n v="125"/>
    <n v="77"/>
    <x v="18"/>
    <x v="1"/>
    <x v="18"/>
    <x v="1"/>
  </r>
  <r>
    <n v="64"/>
    <n v="3"/>
    <d v="2022-04-07T00:00:00"/>
    <s v="T609"/>
    <n v="1"/>
    <n v="7"/>
    <n v="115"/>
    <n v="110"/>
    <x v="7"/>
    <x v="1"/>
    <x v="7"/>
    <x v="1"/>
  </r>
  <r>
    <n v="65"/>
    <n v="1"/>
    <d v="2022-04-08T00:00:00"/>
    <s v="Y092"/>
    <n v="0"/>
    <n v="9"/>
    <n v="129"/>
    <n v="66"/>
    <x v="10"/>
    <x v="2"/>
    <x v="10"/>
    <x v="0"/>
  </r>
  <r>
    <n v="66"/>
    <n v="2"/>
    <d v="2022-04-09T00:00:00"/>
    <s v="U834"/>
    <n v="0"/>
    <n v="8"/>
    <n v="139"/>
    <n v="66"/>
    <x v="2"/>
    <x v="1"/>
    <x v="2"/>
    <x v="2"/>
  </r>
  <r>
    <n v="67"/>
    <n v="3"/>
    <d v="2022-04-10T00:00:00"/>
    <s v="Y857"/>
    <n v="1"/>
    <n v="8"/>
    <n v="141"/>
    <n v="113"/>
    <x v="1"/>
    <x v="0"/>
    <x v="1"/>
    <x v="1"/>
  </r>
  <r>
    <n v="68"/>
    <n v="3"/>
    <d v="2022-04-11T00:00:00"/>
    <s v="Y847"/>
    <n v="0"/>
    <n v="11"/>
    <n v="135"/>
    <n v="110"/>
    <x v="4"/>
    <x v="0"/>
    <x v="4"/>
    <x v="1"/>
  </r>
  <r>
    <n v="69"/>
    <n v="2"/>
    <d v="2022-04-12T00:00:00"/>
    <s v="U092"/>
    <n v="1"/>
    <n v="10"/>
    <n v="147"/>
    <n v="150"/>
    <x v="14"/>
    <x v="0"/>
    <x v="14"/>
    <x v="2"/>
  </r>
  <r>
    <n v="70"/>
    <n v="1"/>
    <d v="2022-04-13T00:00:00"/>
    <s v="U834"/>
    <n v="1"/>
    <n v="13"/>
    <n v="143"/>
    <n v="118"/>
    <x v="2"/>
    <x v="1"/>
    <x v="2"/>
    <x v="0"/>
  </r>
  <r>
    <n v="71"/>
    <n v="3"/>
    <d v="2022-04-14T00:00:00"/>
    <s v="Y847"/>
    <n v="0"/>
    <n v="12"/>
    <n v="133"/>
    <n v="275"/>
    <x v="4"/>
    <x v="0"/>
    <x v="4"/>
    <x v="1"/>
  </r>
  <r>
    <n v="72"/>
    <n v="3"/>
    <d v="2022-04-15T00:00:00"/>
    <s v="T980"/>
    <n v="0"/>
    <n v="9"/>
    <n v="135"/>
    <n v="58"/>
    <x v="12"/>
    <x v="1"/>
    <x v="12"/>
    <x v="1"/>
  </r>
  <r>
    <n v="73"/>
    <n v="1"/>
    <d v="2022-04-16T00:00:00"/>
    <s v="Y674"/>
    <n v="0"/>
    <n v="12"/>
    <n v="153"/>
    <n v="273"/>
    <x v="20"/>
    <x v="1"/>
    <x v="20"/>
    <x v="0"/>
  </r>
  <r>
    <n v="74"/>
    <n v="1"/>
    <d v="2022-04-17T00:00:00"/>
    <s v="T999"/>
    <n v="1"/>
    <n v="9"/>
    <n v="144"/>
    <n v="53"/>
    <x v="15"/>
    <x v="0"/>
    <x v="15"/>
    <x v="0"/>
  </r>
  <r>
    <n v="75"/>
    <n v="2"/>
    <d v="2022-04-18T00:00:00"/>
    <s v="U486"/>
    <n v="1"/>
    <n v="13"/>
    <n v="131"/>
    <n v="59"/>
    <x v="16"/>
    <x v="1"/>
    <x v="16"/>
    <x v="2"/>
  </r>
  <r>
    <n v="76"/>
    <n v="3"/>
    <d v="2022-04-19T00:00:00"/>
    <s v="T857"/>
    <n v="1"/>
    <n v="9"/>
    <n v="149"/>
    <n v="165"/>
    <x v="3"/>
    <x v="2"/>
    <x v="3"/>
    <x v="1"/>
  </r>
  <r>
    <n v="77"/>
    <n v="3"/>
    <d v="2022-04-20T00:00:00"/>
    <s v="T244"/>
    <n v="1"/>
    <n v="13"/>
    <n v="135"/>
    <n v="106"/>
    <x v="0"/>
    <x v="0"/>
    <x v="0"/>
    <x v="1"/>
  </r>
  <r>
    <n v="78"/>
    <n v="1"/>
    <d v="2022-04-21T00:00:00"/>
    <s v="U109"/>
    <n v="0"/>
    <n v="10"/>
    <n v="114"/>
    <n v="77"/>
    <x v="6"/>
    <x v="1"/>
    <x v="6"/>
    <x v="0"/>
  </r>
  <r>
    <n v="79"/>
    <n v="2"/>
    <d v="2022-04-22T00:00:00"/>
    <s v="Y857"/>
    <n v="1"/>
    <n v="3"/>
    <n v="133"/>
    <n v="26"/>
    <x v="1"/>
    <x v="0"/>
    <x v="1"/>
    <x v="2"/>
  </r>
  <r>
    <n v="80"/>
    <n v="2"/>
    <d v="2022-04-23T00:00:00"/>
    <s v="U109"/>
    <n v="0"/>
    <n v="12"/>
    <n v="121"/>
    <n v="76"/>
    <x v="6"/>
    <x v="1"/>
    <x v="6"/>
    <x v="2"/>
  </r>
  <r>
    <n v="81"/>
    <n v="1"/>
    <d v="2022-04-24T00:00:00"/>
    <s v="Y857"/>
    <n v="0"/>
    <n v="7"/>
    <n v="123"/>
    <n v="76"/>
    <x v="1"/>
    <x v="0"/>
    <x v="1"/>
    <x v="0"/>
  </r>
  <r>
    <n v="82"/>
    <n v="1"/>
    <d v="2022-04-25T00:00:00"/>
    <s v="T980"/>
    <n v="1"/>
    <n v="8"/>
    <n v="111"/>
    <n v="96"/>
    <x v="12"/>
    <x v="1"/>
    <x v="12"/>
    <x v="0"/>
  </r>
  <r>
    <n v="83"/>
    <n v="3"/>
    <d v="2022-04-26T00:00:00"/>
    <s v="T857"/>
    <n v="0"/>
    <n v="5"/>
    <n v="120"/>
    <n v="99"/>
    <x v="3"/>
    <x v="2"/>
    <x v="3"/>
    <x v="1"/>
  </r>
  <r>
    <n v="84"/>
    <n v="2"/>
    <d v="2022-04-27T00:00:00"/>
    <s v="T367"/>
    <n v="1"/>
    <n v="20"/>
    <n v="128"/>
    <n v="272"/>
    <x v="19"/>
    <x v="2"/>
    <x v="19"/>
    <x v="2"/>
  </r>
  <r>
    <n v="85"/>
    <n v="1"/>
    <d v="2022-04-28T00:00:00"/>
    <s v="Y674"/>
    <n v="0"/>
    <n v="23"/>
    <n v="126"/>
    <n v="135"/>
    <x v="20"/>
    <x v="1"/>
    <x v="20"/>
    <x v="0"/>
  </r>
  <r>
    <n v="86"/>
    <n v="1"/>
    <d v="2022-04-29T00:00:00"/>
    <s v="T244"/>
    <n v="0"/>
    <n v="17"/>
    <n v="117"/>
    <n v="147"/>
    <x v="0"/>
    <x v="0"/>
    <x v="0"/>
    <x v="0"/>
  </r>
  <r>
    <n v="87"/>
    <n v="1"/>
    <d v="2022-04-30T00:00:00"/>
    <s v="T999"/>
    <n v="0"/>
    <n v="12"/>
    <n v="113"/>
    <n v="125"/>
    <x v="15"/>
    <x v="0"/>
    <x v="15"/>
    <x v="0"/>
  </r>
  <r>
    <n v="88"/>
    <n v="3"/>
    <d v="2022-05-01T00:00:00"/>
    <s v="Y092"/>
    <n v="0"/>
    <n v="17"/>
    <n v="115"/>
    <n v="121"/>
    <x v="10"/>
    <x v="2"/>
    <x v="10"/>
    <x v="1"/>
  </r>
  <r>
    <n v="89"/>
    <n v="3"/>
    <d v="2022-05-02T00:00:00"/>
    <s v="T609"/>
    <n v="1"/>
    <n v="16"/>
    <n v="114"/>
    <n v="91"/>
    <x v="7"/>
    <x v="1"/>
    <x v="7"/>
    <x v="1"/>
  </r>
  <r>
    <n v="90"/>
    <n v="2"/>
    <d v="2022-05-03T00:00:00"/>
    <s v="T980"/>
    <n v="1"/>
    <n v="4"/>
    <n v="120"/>
    <n v="221"/>
    <x v="12"/>
    <x v="1"/>
    <x v="12"/>
    <x v="2"/>
  </r>
  <r>
    <n v="91"/>
    <n v="1"/>
    <d v="2022-05-04T00:00:00"/>
    <s v="U546"/>
    <n v="1"/>
    <n v="11"/>
    <n v="128"/>
    <n v="94"/>
    <x v="17"/>
    <x v="2"/>
    <x v="17"/>
    <x v="0"/>
  </r>
  <r>
    <n v="92"/>
    <n v="3"/>
    <d v="2022-05-05T00:00:00"/>
    <s v="T244"/>
    <n v="1"/>
    <n v="5"/>
    <n v="159"/>
    <n v="20"/>
    <x v="0"/>
    <x v="0"/>
    <x v="0"/>
    <x v="1"/>
  </r>
  <r>
    <n v="93"/>
    <n v="3"/>
    <d v="2022-05-06T00:00:00"/>
    <s v="T562"/>
    <n v="0"/>
    <n v="9"/>
    <n v="114"/>
    <n v="70"/>
    <x v="22"/>
    <x v="1"/>
    <x v="22"/>
    <x v="1"/>
  </r>
  <r>
    <n v="94"/>
    <n v="1"/>
    <d v="2022-05-07T00:00:00"/>
    <s v="Y983"/>
    <n v="1"/>
    <n v="11"/>
    <n v="117"/>
    <n v="94"/>
    <x v="5"/>
    <x v="2"/>
    <x v="5"/>
    <x v="0"/>
  </r>
  <r>
    <n v="95"/>
    <n v="1"/>
    <d v="2022-05-08T00:00:00"/>
    <s v="U789"/>
    <n v="0"/>
    <n v="10"/>
    <n v="128"/>
    <n v="120"/>
    <x v="9"/>
    <x v="0"/>
    <x v="9"/>
    <x v="0"/>
  </r>
  <r>
    <n v="96"/>
    <n v="3"/>
    <d v="2022-05-09T00:00:00"/>
    <s v="T562"/>
    <n v="0"/>
    <n v="18"/>
    <n v="128"/>
    <n v="130"/>
    <x v="22"/>
    <x v="1"/>
    <x v="22"/>
    <x v="1"/>
  </r>
  <r>
    <n v="97"/>
    <n v="1"/>
    <d v="2022-05-10T00:00:00"/>
    <s v="U345"/>
    <n v="0"/>
    <n v="9"/>
    <n v="110"/>
    <n v="84"/>
    <x v="11"/>
    <x v="0"/>
    <x v="11"/>
    <x v="0"/>
  </r>
  <r>
    <n v="98"/>
    <n v="3"/>
    <d v="2022-05-11T00:00:00"/>
    <s v="U789"/>
    <n v="0"/>
    <n v="9"/>
    <n v="119"/>
    <n v="143"/>
    <x v="9"/>
    <x v="0"/>
    <x v="9"/>
    <x v="1"/>
  </r>
  <r>
    <n v="99"/>
    <n v="2"/>
    <d v="2022-05-12T00:00:00"/>
    <s v="Y857"/>
    <n v="1"/>
    <n v="10"/>
    <n v="129"/>
    <n v="71"/>
    <x v="1"/>
    <x v="0"/>
    <x v="1"/>
    <x v="2"/>
  </r>
  <r>
    <n v="100"/>
    <n v="3"/>
    <d v="2022-05-13T00:00:00"/>
    <s v="Y099"/>
    <n v="0"/>
    <n v="10"/>
    <n v="132"/>
    <n v="165"/>
    <x v="18"/>
    <x v="1"/>
    <x v="18"/>
    <x v="1"/>
  </r>
  <r>
    <n v="101"/>
    <n v="3"/>
    <d v="2022-05-14T00:00:00"/>
    <s v="T857"/>
    <n v="1"/>
    <n v="7"/>
    <n v="129"/>
    <n v="110"/>
    <x v="3"/>
    <x v="2"/>
    <x v="3"/>
    <x v="1"/>
  </r>
  <r>
    <n v="102"/>
    <n v="3"/>
    <d v="2022-05-15T00:00:00"/>
    <s v="U109"/>
    <n v="1"/>
    <n v="11"/>
    <n v="137"/>
    <n v="105"/>
    <x v="6"/>
    <x v="1"/>
    <x v="6"/>
    <x v="1"/>
  </r>
  <r>
    <n v="103"/>
    <n v="2"/>
    <d v="2022-05-16T00:00:00"/>
    <s v="T999"/>
    <n v="0"/>
    <n v="11"/>
    <n v="129"/>
    <n v="78"/>
    <x v="15"/>
    <x v="0"/>
    <x v="15"/>
    <x v="2"/>
  </r>
  <r>
    <n v="104"/>
    <n v="1"/>
    <d v="2022-05-17T00:00:00"/>
    <s v="Y341"/>
    <n v="0"/>
    <n v="7"/>
    <n v="143"/>
    <n v="48"/>
    <x v="24"/>
    <x v="2"/>
    <x v="24"/>
    <x v="0"/>
  </r>
  <r>
    <n v="105"/>
    <n v="1"/>
    <d v="2022-05-18T00:00:00"/>
    <s v="T562"/>
    <n v="1"/>
    <n v="9"/>
    <n v="129"/>
    <n v="110"/>
    <x v="22"/>
    <x v="1"/>
    <x v="22"/>
    <x v="0"/>
  </r>
  <r>
    <n v="106"/>
    <n v="1"/>
    <d v="2022-05-19T00:00:00"/>
    <s v="Y341"/>
    <n v="1"/>
    <n v="16"/>
    <n v="136"/>
    <n v="103"/>
    <x v="24"/>
    <x v="2"/>
    <x v="24"/>
    <x v="0"/>
  </r>
  <r>
    <n v="107"/>
    <n v="1"/>
    <d v="2022-05-20T00:00:00"/>
    <s v="U466"/>
    <n v="0"/>
    <n v="10"/>
    <n v="146"/>
    <n v="110"/>
    <x v="23"/>
    <x v="2"/>
    <x v="23"/>
    <x v="0"/>
  </r>
  <r>
    <n v="108"/>
    <n v="2"/>
    <d v="2022-05-21T00:00:00"/>
    <s v="U789"/>
    <n v="0"/>
    <n v="8"/>
    <n v="128"/>
    <n v="127"/>
    <x v="9"/>
    <x v="0"/>
    <x v="9"/>
    <x v="2"/>
  </r>
  <r>
    <n v="109"/>
    <n v="2"/>
    <d v="2022-05-22T00:00:00"/>
    <s v="Y674"/>
    <n v="0"/>
    <n v="10"/>
    <n v="135"/>
    <n v="110"/>
    <x v="20"/>
    <x v="1"/>
    <x v="20"/>
    <x v="2"/>
  </r>
  <r>
    <n v="110"/>
    <n v="2"/>
    <d v="2022-05-23T00:00:00"/>
    <s v="Y099"/>
    <n v="1"/>
    <n v="9"/>
    <n v="117"/>
    <n v="82"/>
    <x v="18"/>
    <x v="1"/>
    <x v="18"/>
    <x v="2"/>
  </r>
  <r>
    <n v="111"/>
    <n v="1"/>
    <d v="2022-05-24T00:00:00"/>
    <s v="T999"/>
    <n v="0"/>
    <n v="18"/>
    <n v="129"/>
    <n v="165"/>
    <x v="15"/>
    <x v="0"/>
    <x v="15"/>
    <x v="0"/>
  </r>
  <r>
    <n v="112"/>
    <n v="3"/>
    <d v="2022-05-25T00:00:00"/>
    <s v="T857"/>
    <n v="1"/>
    <n v="16"/>
    <n v="137"/>
    <n v="129"/>
    <x v="3"/>
    <x v="2"/>
    <x v="3"/>
    <x v="1"/>
  </r>
  <r>
    <n v="113"/>
    <n v="1"/>
    <d v="2022-05-26T00:00:00"/>
    <s v="Y847"/>
    <n v="0"/>
    <n v="11"/>
    <n v="145"/>
    <n v="97"/>
    <x v="4"/>
    <x v="0"/>
    <x v="4"/>
    <x v="0"/>
  </r>
  <r>
    <n v="114"/>
    <n v="1"/>
    <d v="2022-05-27T00:00:00"/>
    <s v="U546"/>
    <n v="0"/>
    <n v="12"/>
    <n v="142"/>
    <n v="74"/>
    <x v="17"/>
    <x v="2"/>
    <x v="17"/>
    <x v="0"/>
  </r>
  <r>
    <n v="115"/>
    <n v="2"/>
    <d v="2022-05-28T00:00:00"/>
    <s v="Y857"/>
    <n v="1"/>
    <n v="13"/>
    <n v="133"/>
    <n v="76"/>
    <x v="1"/>
    <x v="0"/>
    <x v="1"/>
    <x v="2"/>
  </r>
  <r>
    <n v="116"/>
    <n v="3"/>
    <d v="2022-05-29T00:00:00"/>
    <s v="T857"/>
    <n v="1"/>
    <n v="11"/>
    <n v="140"/>
    <n v="109"/>
    <x v="3"/>
    <x v="2"/>
    <x v="3"/>
    <x v="1"/>
  </r>
  <r>
    <n v="117"/>
    <n v="2"/>
    <d v="2022-05-30T00:00:00"/>
    <s v="Y092"/>
    <n v="0"/>
    <n v="8"/>
    <n v="148"/>
    <n v="55"/>
    <x v="10"/>
    <x v="2"/>
    <x v="10"/>
    <x v="2"/>
  </r>
  <r>
    <n v="118"/>
    <n v="3"/>
    <d v="2022-05-31T00:00:00"/>
    <s v="Y341"/>
    <n v="0"/>
    <n v="13"/>
    <n v="95"/>
    <n v="171"/>
    <x v="24"/>
    <x v="2"/>
    <x v="24"/>
    <x v="1"/>
  </r>
  <r>
    <n v="119"/>
    <n v="1"/>
    <d v="2022-06-01T00:00:00"/>
    <s v="U345"/>
    <n v="0"/>
    <n v="11"/>
    <n v="143"/>
    <n v="92"/>
    <x v="11"/>
    <x v="0"/>
    <x v="11"/>
    <x v="0"/>
  </r>
  <r>
    <n v="120"/>
    <n v="1"/>
    <d v="2022-06-02T00:00:00"/>
    <s v="Y099"/>
    <n v="1"/>
    <n v="12"/>
    <n v="133"/>
    <n v="61"/>
    <x v="18"/>
    <x v="1"/>
    <x v="18"/>
    <x v="0"/>
  </r>
  <r>
    <n v="121"/>
    <n v="2"/>
    <d v="2022-06-03T00:00:00"/>
    <s v="U834"/>
    <n v="0"/>
    <n v="10"/>
    <n v="122"/>
    <n v="166"/>
    <x v="2"/>
    <x v="1"/>
    <x v="2"/>
    <x v="2"/>
  </r>
  <r>
    <n v="122"/>
    <n v="3"/>
    <d v="2022-06-04T00:00:00"/>
    <s v="Y857"/>
    <n v="1"/>
    <n v="7"/>
    <n v="130"/>
    <n v="70"/>
    <x v="1"/>
    <x v="0"/>
    <x v="1"/>
    <x v="1"/>
  </r>
  <r>
    <n v="123"/>
    <n v="1"/>
    <d v="2022-06-05T00:00:00"/>
    <s v="Y099"/>
    <n v="1"/>
    <n v="15"/>
    <n v="139"/>
    <n v="331"/>
    <x v="18"/>
    <x v="1"/>
    <x v="18"/>
    <x v="0"/>
  </r>
  <r>
    <n v="124"/>
    <n v="2"/>
    <d v="2022-06-06T00:00:00"/>
    <s v="T857"/>
    <n v="0"/>
    <n v="8"/>
    <n v="122"/>
    <n v="57"/>
    <x v="3"/>
    <x v="2"/>
    <x v="3"/>
    <x v="2"/>
  </r>
  <r>
    <n v="125"/>
    <n v="2"/>
    <d v="2022-06-07T00:00:00"/>
    <s v="Y784"/>
    <n v="1"/>
    <n v="12"/>
    <n v="121"/>
    <n v="70"/>
    <x v="13"/>
    <x v="1"/>
    <x v="13"/>
    <x v="2"/>
  </r>
  <r>
    <n v="126"/>
    <n v="3"/>
    <d v="2022-06-08T00:00:00"/>
    <s v="Y674"/>
    <n v="0"/>
    <n v="22"/>
    <n v="128"/>
    <n v="270"/>
    <x v="20"/>
    <x v="1"/>
    <x v="20"/>
    <x v="1"/>
  </r>
  <r>
    <n v="127"/>
    <n v="1"/>
    <d v="2022-06-09T00:00:00"/>
    <s v="U486"/>
    <n v="0"/>
    <n v="17"/>
    <n v="133"/>
    <n v="80"/>
    <x v="16"/>
    <x v="1"/>
    <x v="16"/>
    <x v="0"/>
  </r>
  <r>
    <n v="128"/>
    <n v="3"/>
    <d v="2022-06-10T00:00:00"/>
    <s v="Y784"/>
    <n v="0"/>
    <n v="19"/>
    <n v="143"/>
    <n v="122"/>
    <x v="13"/>
    <x v="1"/>
    <x v="13"/>
    <x v="1"/>
  </r>
  <r>
    <n v="129"/>
    <n v="3"/>
    <d v="2022-06-11T00:00:00"/>
    <s v="U533"/>
    <n v="1"/>
    <n v="17"/>
    <n v="133"/>
    <n v="90"/>
    <x v="21"/>
    <x v="0"/>
    <x v="21"/>
    <x v="1"/>
  </r>
  <r>
    <n v="130"/>
    <n v="2"/>
    <d v="2022-06-12T00:00:00"/>
    <s v="T244"/>
    <n v="1"/>
    <n v="9"/>
    <n v="126"/>
    <n v="57"/>
    <x v="0"/>
    <x v="0"/>
    <x v="0"/>
    <x v="2"/>
  </r>
  <r>
    <n v="131"/>
    <n v="1"/>
    <d v="2022-06-13T00:00:00"/>
    <s v="T857"/>
    <n v="0"/>
    <n v="18"/>
    <n v="145"/>
    <n v="113"/>
    <x v="3"/>
    <x v="2"/>
    <x v="3"/>
    <x v="0"/>
  </r>
  <r>
    <n v="132"/>
    <n v="1"/>
    <d v="2022-06-14T00:00:00"/>
    <s v="T562"/>
    <n v="1"/>
    <n v="21"/>
    <n v="149"/>
    <n v="116"/>
    <x v="22"/>
    <x v="1"/>
    <x v="22"/>
    <x v="0"/>
  </r>
  <r>
    <n v="133"/>
    <n v="2"/>
    <d v="2022-06-15T00:00:00"/>
    <s v="U092"/>
    <n v="0"/>
    <n v="14"/>
    <n v="133"/>
    <n v="98"/>
    <x v="14"/>
    <x v="0"/>
    <x v="14"/>
    <x v="2"/>
  </r>
  <r>
    <n v="134"/>
    <n v="2"/>
    <d v="2022-06-16T00:00:00"/>
    <s v="T095"/>
    <n v="1"/>
    <n v="19"/>
    <n v="140"/>
    <n v="130"/>
    <x v="8"/>
    <x v="2"/>
    <x v="8"/>
    <x v="2"/>
  </r>
  <r>
    <n v="135"/>
    <n v="2"/>
    <d v="2022-06-17T00:00:00"/>
    <s v="U533"/>
    <n v="1"/>
    <n v="15"/>
    <n v="150"/>
    <n v="105"/>
    <x v="21"/>
    <x v="0"/>
    <x v="21"/>
    <x v="2"/>
  </r>
  <r>
    <n v="136"/>
    <n v="3"/>
    <d v="2022-06-18T00:00:00"/>
    <s v="T244"/>
    <n v="0"/>
    <n v="25"/>
    <n v="141"/>
    <n v="221"/>
    <x v="0"/>
    <x v="0"/>
    <x v="0"/>
    <x v="1"/>
  </r>
  <r>
    <n v="137"/>
    <n v="2"/>
    <d v="2022-06-19T00:00:00"/>
    <s v="Y847"/>
    <n v="1"/>
    <n v="14"/>
    <n v="138"/>
    <n v="85"/>
    <x v="4"/>
    <x v="0"/>
    <x v="4"/>
    <x v="2"/>
  </r>
  <r>
    <n v="138"/>
    <n v="1"/>
    <d v="2022-06-20T00:00:00"/>
    <s v="U345"/>
    <n v="1"/>
    <n v="22"/>
    <n v="121"/>
    <n v="81"/>
    <x v="11"/>
    <x v="0"/>
    <x v="11"/>
    <x v="0"/>
  </r>
  <r>
    <n v="139"/>
    <n v="1"/>
    <d v="2022-06-21T00:00:00"/>
    <s v="U345"/>
    <n v="1"/>
    <n v="14"/>
    <n v="140"/>
    <n v="109"/>
    <x v="11"/>
    <x v="0"/>
    <x v="11"/>
    <x v="0"/>
  </r>
  <r>
    <n v="140"/>
    <n v="2"/>
    <d v="2022-06-22T00:00:00"/>
    <s v="U345"/>
    <n v="0"/>
    <n v="8"/>
    <n v="130"/>
    <n v="58"/>
    <x v="11"/>
    <x v="0"/>
    <x v="11"/>
    <x v="2"/>
  </r>
  <r>
    <n v="141"/>
    <n v="2"/>
    <d v="2022-06-23T00:00:00"/>
    <s v="U466"/>
    <n v="0"/>
    <n v="20"/>
    <n v="118"/>
    <n v="116"/>
    <x v="23"/>
    <x v="2"/>
    <x v="23"/>
    <x v="2"/>
  </r>
  <r>
    <n v="142"/>
    <n v="1"/>
    <d v="2022-06-24T00:00:00"/>
    <s v="Y099"/>
    <n v="0"/>
    <n v="14"/>
    <n v="144"/>
    <n v="138"/>
    <x v="18"/>
    <x v="1"/>
    <x v="18"/>
    <x v="0"/>
  </r>
  <r>
    <n v="143"/>
    <n v="2"/>
    <d v="2022-06-25T00:00:00"/>
    <s v="T367"/>
    <n v="1"/>
    <n v="11"/>
    <n v="139"/>
    <n v="65"/>
    <x v="19"/>
    <x v="2"/>
    <x v="19"/>
    <x v="2"/>
  </r>
  <r>
    <n v="144"/>
    <n v="2"/>
    <d v="2022-06-26T00:00:00"/>
    <s v="T095"/>
    <n v="1"/>
    <n v="12"/>
    <n v="155"/>
    <n v="110"/>
    <x v="8"/>
    <x v="2"/>
    <x v="8"/>
    <x v="2"/>
  </r>
  <r>
    <n v="145"/>
    <n v="1"/>
    <d v="2022-06-27T00:00:00"/>
    <s v="Y784"/>
    <n v="0"/>
    <n v="11"/>
    <n v="124"/>
    <n v="77"/>
    <x v="13"/>
    <x v="1"/>
    <x v="13"/>
    <x v="0"/>
  </r>
  <r>
    <n v="146"/>
    <n v="3"/>
    <d v="2022-06-28T00:00:00"/>
    <s v="U486"/>
    <n v="0"/>
    <n v="11"/>
    <n v="139"/>
    <n v="95"/>
    <x v="16"/>
    <x v="1"/>
    <x v="16"/>
    <x v="1"/>
  </r>
  <r>
    <n v="147"/>
    <n v="3"/>
    <d v="2022-06-29T00:00:00"/>
    <s v="U789"/>
    <n v="1"/>
    <n v="14"/>
    <n v="143"/>
    <n v="99"/>
    <x v="9"/>
    <x v="0"/>
    <x v="9"/>
    <x v="1"/>
  </r>
  <r>
    <n v="148"/>
    <n v="1"/>
    <d v="2022-06-30T00:00:00"/>
    <s v="Y983"/>
    <n v="0"/>
    <n v="14"/>
    <n v="140"/>
    <n v="172"/>
    <x v="5"/>
    <x v="2"/>
    <x v="5"/>
    <x v="0"/>
  </r>
  <r>
    <n v="149"/>
    <n v="1"/>
    <d v="2022-07-01T00:00:00"/>
    <s v="U486"/>
    <n v="0"/>
    <n v="16"/>
    <n v="144"/>
    <n v="72"/>
    <x v="16"/>
    <x v="1"/>
    <x v="16"/>
    <x v="0"/>
  </r>
  <r>
    <n v="150"/>
    <n v="2"/>
    <d v="2022-07-02T00:00:00"/>
    <s v="Y674"/>
    <n v="1"/>
    <n v="9"/>
    <n v="134"/>
    <n v="104"/>
    <x v="20"/>
    <x v="1"/>
    <x v="20"/>
    <x v="2"/>
  </r>
  <r>
    <n v="151"/>
    <n v="3"/>
    <d v="2022-07-03T00:00:00"/>
    <s v="U834"/>
    <n v="0"/>
    <n v="16"/>
    <n v="135"/>
    <n v="91"/>
    <x v="2"/>
    <x v="1"/>
    <x v="2"/>
    <x v="1"/>
  </r>
  <r>
    <n v="152"/>
    <n v="3"/>
    <d v="2022-07-04T00:00:00"/>
    <s v="U533"/>
    <n v="0"/>
    <n v="16"/>
    <n v="155"/>
    <n v="58"/>
    <x v="21"/>
    <x v="0"/>
    <x v="21"/>
    <x v="1"/>
  </r>
  <r>
    <n v="153"/>
    <n v="3"/>
    <d v="2022-07-05T00:00:00"/>
    <s v="U345"/>
    <n v="1"/>
    <n v="17"/>
    <n v="137"/>
    <n v="111"/>
    <x v="11"/>
    <x v="0"/>
    <x v="11"/>
    <x v="1"/>
  </r>
  <r>
    <n v="154"/>
    <n v="3"/>
    <d v="2022-07-06T00:00:00"/>
    <s v="T609"/>
    <n v="0"/>
    <n v="25"/>
    <n v="138"/>
    <n v="219"/>
    <x v="7"/>
    <x v="1"/>
    <x v="7"/>
    <x v="1"/>
  </r>
  <r>
    <n v="155"/>
    <n v="3"/>
    <d v="2022-07-07T00:00:00"/>
    <s v="Y784"/>
    <n v="1"/>
    <n v="16"/>
    <n v="131"/>
    <n v="165"/>
    <x v="13"/>
    <x v="1"/>
    <x v="13"/>
    <x v="1"/>
  </r>
  <r>
    <n v="156"/>
    <n v="1"/>
    <d v="2022-07-08T00:00:00"/>
    <s v="Y857"/>
    <n v="0"/>
    <n v="15"/>
    <n v="133"/>
    <n v="198"/>
    <x v="1"/>
    <x v="0"/>
    <x v="1"/>
    <x v="0"/>
  </r>
  <r>
    <n v="157"/>
    <n v="2"/>
    <d v="2022-07-09T00:00:00"/>
    <s v="U546"/>
    <n v="0"/>
    <n v="7"/>
    <n v="148"/>
    <n v="51"/>
    <x v="17"/>
    <x v="2"/>
    <x v="17"/>
    <x v="2"/>
  </r>
  <r>
    <n v="158"/>
    <n v="3"/>
    <d v="2022-07-10T00:00:00"/>
    <s v="U546"/>
    <n v="0"/>
    <n v="9"/>
    <n v="131"/>
    <n v="59"/>
    <x v="17"/>
    <x v="2"/>
    <x v="17"/>
    <x v="1"/>
  </r>
  <r>
    <n v="159"/>
    <n v="2"/>
    <d v="2022-07-11T00:00:00"/>
    <s v="Y847"/>
    <n v="1"/>
    <n v="7"/>
    <n v="178"/>
    <n v="58"/>
    <x v="4"/>
    <x v="0"/>
    <x v="4"/>
    <x v="2"/>
  </r>
  <r>
    <n v="160"/>
    <n v="1"/>
    <d v="2022-07-12T00:00:00"/>
    <s v="T095"/>
    <n v="0"/>
    <n v="21"/>
    <n v="130"/>
    <n v="286"/>
    <x v="8"/>
    <x v="2"/>
    <x v="8"/>
    <x v="0"/>
  </r>
  <r>
    <n v="161"/>
    <n v="2"/>
    <d v="2022-07-13T00:00:00"/>
    <s v="T857"/>
    <n v="0"/>
    <n v="19"/>
    <n v="147"/>
    <n v="110"/>
    <x v="3"/>
    <x v="2"/>
    <x v="3"/>
    <x v="2"/>
  </r>
  <r>
    <n v="162"/>
    <n v="3"/>
    <d v="2022-07-14T00:00:00"/>
    <s v="Y847"/>
    <n v="1"/>
    <n v="17"/>
    <n v="140"/>
    <n v="109"/>
    <x v="4"/>
    <x v="0"/>
    <x v="4"/>
    <x v="1"/>
  </r>
  <r>
    <n v="163"/>
    <n v="3"/>
    <d v="2022-07-15T00:00:00"/>
    <s v="T244"/>
    <n v="0"/>
    <n v="17"/>
    <n v="142"/>
    <n v="165"/>
    <x v="0"/>
    <x v="0"/>
    <x v="0"/>
    <x v="1"/>
  </r>
  <r>
    <n v="164"/>
    <n v="1"/>
    <d v="2022-07-16T00:00:00"/>
    <s v="U092"/>
    <n v="0"/>
    <n v="27"/>
    <n v="142"/>
    <n v="154"/>
    <x v="14"/>
    <x v="0"/>
    <x v="14"/>
    <x v="0"/>
  </r>
  <r>
    <n v="165"/>
    <n v="2"/>
    <d v="2022-07-17T00:00:00"/>
    <s v="T562"/>
    <n v="0"/>
    <n v="16"/>
    <n v="144"/>
    <n v="110"/>
    <x v="22"/>
    <x v="1"/>
    <x v="22"/>
    <x v="2"/>
  </r>
  <r>
    <n v="166"/>
    <n v="3"/>
    <d v="2022-07-18T00:00:00"/>
    <s v="T367"/>
    <n v="0"/>
    <n v="21"/>
    <n v="160"/>
    <n v="58"/>
    <x v="19"/>
    <x v="2"/>
    <x v="19"/>
    <x v="1"/>
  </r>
  <r>
    <n v="167"/>
    <n v="3"/>
    <d v="2022-07-19T00:00:00"/>
    <s v="Y983"/>
    <n v="1"/>
    <n v="6"/>
    <n v="126"/>
    <n v="57"/>
    <x v="5"/>
    <x v="2"/>
    <x v="5"/>
    <x v="1"/>
  </r>
  <r>
    <n v="168"/>
    <n v="2"/>
    <d v="2022-07-20T00:00:00"/>
    <s v="U092"/>
    <n v="1"/>
    <n v="20"/>
    <n v="143"/>
    <n v="171"/>
    <x v="14"/>
    <x v="0"/>
    <x v="14"/>
    <x v="2"/>
  </r>
  <r>
    <n v="169"/>
    <n v="3"/>
    <d v="2022-07-21T00:00:00"/>
    <s v="Y341"/>
    <n v="1"/>
    <n v="10"/>
    <n v="145"/>
    <n v="59"/>
    <x v="24"/>
    <x v="2"/>
    <x v="24"/>
    <x v="1"/>
  </r>
  <r>
    <n v="170"/>
    <n v="3"/>
    <d v="2022-07-22T00:00:00"/>
    <s v="U834"/>
    <n v="1"/>
    <n v="15"/>
    <n v="142"/>
    <n v="275"/>
    <x v="2"/>
    <x v="1"/>
    <x v="2"/>
    <x v="1"/>
  </r>
  <r>
    <n v="171"/>
    <n v="1"/>
    <d v="2022-07-23T00:00:00"/>
    <s v="U466"/>
    <n v="0"/>
    <n v="16"/>
    <n v="142"/>
    <n v="105"/>
    <x v="23"/>
    <x v="2"/>
    <x v="23"/>
    <x v="0"/>
  </r>
  <r>
    <n v="172"/>
    <n v="1"/>
    <d v="2022-07-24T00:00:00"/>
    <s v="T562"/>
    <n v="0"/>
    <n v="16"/>
    <n v="131"/>
    <n v="191"/>
    <x v="22"/>
    <x v="1"/>
    <x v="22"/>
    <x v="0"/>
  </r>
  <r>
    <n v="173"/>
    <n v="2"/>
    <d v="2022-07-25T00:00:00"/>
    <s v="T609"/>
    <n v="0"/>
    <n v="32"/>
    <n v="122"/>
    <n v="163"/>
    <x v="7"/>
    <x v="1"/>
    <x v="7"/>
    <x v="2"/>
  </r>
  <r>
    <n v="174"/>
    <n v="2"/>
    <d v="2022-07-26T00:00:00"/>
    <s v="Y784"/>
    <n v="1"/>
    <n v="24"/>
    <n v="158"/>
    <n v="149"/>
    <x v="13"/>
    <x v="1"/>
    <x v="13"/>
    <x v="2"/>
  </r>
  <r>
    <n v="175"/>
    <n v="3"/>
    <d v="2022-07-27T00:00:00"/>
    <s v="U109"/>
    <n v="0"/>
    <n v="20"/>
    <n v="153"/>
    <n v="178"/>
    <x v="6"/>
    <x v="1"/>
    <x v="6"/>
    <x v="1"/>
  </r>
  <r>
    <n v="176"/>
    <n v="3"/>
    <d v="2022-07-28T00:00:00"/>
    <s v="U466"/>
    <n v="1"/>
    <n v="25"/>
    <n v="141"/>
    <n v="158"/>
    <x v="23"/>
    <x v="2"/>
    <x v="23"/>
    <x v="1"/>
  </r>
  <r>
    <n v="177"/>
    <n v="3"/>
    <d v="2022-07-29T00:00:00"/>
    <s v="U092"/>
    <n v="1"/>
    <n v="21"/>
    <n v="153"/>
    <n v="223"/>
    <x v="14"/>
    <x v="0"/>
    <x v="14"/>
    <x v="1"/>
  </r>
  <r>
    <n v="178"/>
    <n v="2"/>
    <d v="2022-07-30T00:00:00"/>
    <s v="T367"/>
    <n v="0"/>
    <n v="22"/>
    <n v="152"/>
    <n v="165"/>
    <x v="19"/>
    <x v="2"/>
    <x v="19"/>
    <x v="2"/>
  </r>
  <r>
    <n v="179"/>
    <n v="3"/>
    <d v="2022-07-31T00:00:00"/>
    <s v="U345"/>
    <n v="1"/>
    <n v="17"/>
    <n v="160"/>
    <n v="183"/>
    <x v="11"/>
    <x v="0"/>
    <x v="11"/>
    <x v="1"/>
  </r>
  <r>
    <n v="180"/>
    <n v="1"/>
    <d v="2022-08-01T00:00:00"/>
    <s v="T095"/>
    <n v="0"/>
    <n v="10"/>
    <n v="134"/>
    <n v="76"/>
    <x v="8"/>
    <x v="2"/>
    <x v="8"/>
    <x v="0"/>
  </r>
  <r>
    <n v="181"/>
    <n v="2"/>
    <d v="2022-08-02T00:00:00"/>
    <s v="Y341"/>
    <n v="1"/>
    <n v="23"/>
    <n v="157"/>
    <n v="275"/>
    <x v="24"/>
    <x v="2"/>
    <x v="24"/>
    <x v="2"/>
  </r>
  <r>
    <n v="182"/>
    <n v="1"/>
    <d v="2022-08-03T00:00:00"/>
    <s v="T857"/>
    <n v="1"/>
    <n v="21"/>
    <n v="143"/>
    <n v="246"/>
    <x v="3"/>
    <x v="2"/>
    <x v="3"/>
    <x v="0"/>
  </r>
  <r>
    <n v="183"/>
    <n v="2"/>
    <d v="2022-08-04T00:00:00"/>
    <s v="U546"/>
    <n v="1"/>
    <n v="21"/>
    <n v="152"/>
    <n v="113"/>
    <x v="17"/>
    <x v="2"/>
    <x v="17"/>
    <x v="2"/>
  </r>
  <r>
    <n v="184"/>
    <n v="1"/>
    <d v="2022-08-05T00:00:00"/>
    <s v="U109"/>
    <n v="1"/>
    <n v="24"/>
    <n v="146"/>
    <n v="166"/>
    <x v="6"/>
    <x v="1"/>
    <x v="6"/>
    <x v="0"/>
  </r>
  <r>
    <n v="185"/>
    <n v="1"/>
    <d v="2022-08-06T00:00:00"/>
    <s v="U789"/>
    <n v="0"/>
    <n v="16"/>
    <n v="57"/>
    <n v="525"/>
    <x v="9"/>
    <x v="0"/>
    <x v="9"/>
    <x v="0"/>
  </r>
  <r>
    <n v="186"/>
    <n v="2"/>
    <d v="2022-08-07T00:00:00"/>
    <s v="T857"/>
    <n v="1"/>
    <n v="19"/>
    <n v="81"/>
    <n v="234"/>
    <x v="3"/>
    <x v="2"/>
    <x v="3"/>
    <x v="2"/>
  </r>
  <r>
    <n v="187"/>
    <n v="3"/>
    <d v="2022-08-08T00:00:00"/>
    <s v="T244"/>
    <n v="1"/>
    <n v="25"/>
    <n v="156"/>
    <n v="78"/>
    <x v="0"/>
    <x v="0"/>
    <x v="0"/>
    <x v="1"/>
  </r>
  <r>
    <n v="188"/>
    <n v="2"/>
    <d v="2022-08-09T00:00:00"/>
    <s v="Y341"/>
    <n v="0"/>
    <n v="22"/>
    <n v="133"/>
    <n v="132"/>
    <x v="24"/>
    <x v="2"/>
    <x v="24"/>
    <x v="2"/>
  </r>
  <r>
    <n v="189"/>
    <n v="3"/>
    <d v="2022-08-10T00:00:00"/>
    <s v="Y099"/>
    <n v="0"/>
    <n v="24"/>
    <n v="154"/>
    <n v="180"/>
    <x v="18"/>
    <x v="1"/>
    <x v="18"/>
    <x v="1"/>
  </r>
  <r>
    <n v="190"/>
    <n v="2"/>
    <d v="2022-08-11T00:00:00"/>
    <s v="T999"/>
    <n v="0"/>
    <n v="10"/>
    <n v="131"/>
    <n v="93"/>
    <x v="15"/>
    <x v="0"/>
    <x v="15"/>
    <x v="2"/>
  </r>
  <r>
    <n v="191"/>
    <n v="2"/>
    <d v="2022-08-12T00:00:00"/>
    <s v="U109"/>
    <n v="1"/>
    <n v="21"/>
    <n v="150"/>
    <n v="168"/>
    <x v="6"/>
    <x v="1"/>
    <x v="6"/>
    <x v="2"/>
  </r>
  <r>
    <n v="192"/>
    <n v="3"/>
    <d v="2022-08-13T00:00:00"/>
    <s v="U533"/>
    <n v="1"/>
    <n v="21"/>
    <n v="149"/>
    <n v="165"/>
    <x v="21"/>
    <x v="0"/>
    <x v="21"/>
    <x v="1"/>
  </r>
  <r>
    <n v="193"/>
    <n v="2"/>
    <d v="2022-08-14T00:00:00"/>
    <s v="Y099"/>
    <n v="1"/>
    <n v="23"/>
    <n v="138"/>
    <n v="146"/>
    <x v="18"/>
    <x v="1"/>
    <x v="18"/>
    <x v="2"/>
  </r>
  <r>
    <n v="194"/>
    <n v="1"/>
    <d v="2022-08-15T00:00:00"/>
    <s v="U533"/>
    <n v="0"/>
    <n v="25"/>
    <n v="217"/>
    <n v="88"/>
    <x v="21"/>
    <x v="0"/>
    <x v="21"/>
    <x v="0"/>
  </r>
  <r>
    <n v="195"/>
    <n v="2"/>
    <d v="2022-08-16T00:00:00"/>
    <s v="U546"/>
    <n v="1"/>
    <n v="20"/>
    <n v="116"/>
    <n v="251"/>
    <x v="17"/>
    <x v="2"/>
    <x v="17"/>
    <x v="2"/>
  </r>
  <r>
    <n v="196"/>
    <n v="3"/>
    <d v="2022-08-17T00:00:00"/>
    <s v="Y857"/>
    <n v="0"/>
    <n v="18"/>
    <n v="129"/>
    <n v="113"/>
    <x v="1"/>
    <x v="0"/>
    <x v="1"/>
    <x v="1"/>
  </r>
  <r>
    <n v="197"/>
    <n v="1"/>
    <d v="2022-08-18T00:00:00"/>
    <s v="T244"/>
    <n v="1"/>
    <n v="18"/>
    <n v="144"/>
    <n v="101"/>
    <x v="0"/>
    <x v="0"/>
    <x v="0"/>
    <x v="0"/>
  </r>
  <r>
    <n v="198"/>
    <n v="1"/>
    <d v="2022-08-19T00:00:00"/>
    <s v="U109"/>
    <n v="0"/>
    <n v="23"/>
    <n v="148"/>
    <n v="170"/>
    <x v="6"/>
    <x v="1"/>
    <x v="6"/>
    <x v="0"/>
  </r>
  <r>
    <n v="199"/>
    <n v="3"/>
    <d v="2022-08-20T00:00:00"/>
    <s v="T857"/>
    <n v="0"/>
    <n v="23"/>
    <n v="131"/>
    <n v="144"/>
    <x v="3"/>
    <x v="2"/>
    <x v="3"/>
    <x v="1"/>
  </r>
  <r>
    <n v="200"/>
    <n v="3"/>
    <d v="2022-08-21T00:00:00"/>
    <s v="Y099"/>
    <n v="1"/>
    <n v="23"/>
    <n v="137"/>
    <n v="275"/>
    <x v="18"/>
    <x v="1"/>
    <x v="18"/>
    <x v="1"/>
  </r>
  <r>
    <n v="201"/>
    <n v="2"/>
    <d v="2022-08-22T00:00:00"/>
    <s v="T980"/>
    <n v="0"/>
    <n v="25"/>
    <n v="144"/>
    <n v="95"/>
    <x v="12"/>
    <x v="1"/>
    <x v="12"/>
    <x v="2"/>
  </r>
  <r>
    <n v="202"/>
    <n v="3"/>
    <d v="2022-08-23T00:00:00"/>
    <s v="U834"/>
    <n v="1"/>
    <n v="18"/>
    <n v="150"/>
    <n v="67"/>
    <x v="2"/>
    <x v="1"/>
    <x v="2"/>
    <x v="1"/>
  </r>
  <r>
    <n v="203"/>
    <n v="1"/>
    <d v="2022-08-24T00:00:00"/>
    <s v="U533"/>
    <n v="1"/>
    <n v="21"/>
    <n v="145"/>
    <n v="110"/>
    <x v="21"/>
    <x v="0"/>
    <x v="21"/>
    <x v="0"/>
  </r>
  <r>
    <n v="204"/>
    <n v="1"/>
    <d v="2022-08-25T00:00:00"/>
    <s v="Y847"/>
    <n v="1"/>
    <n v="22"/>
    <n v="135"/>
    <n v="200"/>
    <x v="4"/>
    <x v="0"/>
    <x v="4"/>
    <x v="0"/>
  </r>
  <r>
    <n v="205"/>
    <n v="3"/>
    <d v="2022-08-26T00:00:00"/>
    <s v="T244"/>
    <n v="0"/>
    <n v="18"/>
    <n v="137"/>
    <n v="110"/>
    <x v="0"/>
    <x v="0"/>
    <x v="0"/>
    <x v="1"/>
  </r>
  <r>
    <n v="206"/>
    <n v="2"/>
    <d v="2022-08-27T00:00:00"/>
    <s v="Y674"/>
    <n v="0"/>
    <n v="21"/>
    <n v="135"/>
    <n v="236"/>
    <x v="20"/>
    <x v="1"/>
    <x v="20"/>
    <x v="2"/>
  </r>
  <r>
    <n v="207"/>
    <n v="3"/>
    <d v="2022-08-28T00:00:00"/>
    <s v="T980"/>
    <n v="0"/>
    <n v="16"/>
    <n v="145"/>
    <n v="62"/>
    <x v="12"/>
    <x v="1"/>
    <x v="12"/>
    <x v="1"/>
  </r>
  <r>
    <n v="208"/>
    <n v="1"/>
    <d v="2022-08-29T00:00:00"/>
    <s v="T980"/>
    <n v="0"/>
    <n v="19"/>
    <n v="167"/>
    <n v="142"/>
    <x v="12"/>
    <x v="1"/>
    <x v="12"/>
    <x v="0"/>
  </r>
  <r>
    <n v="209"/>
    <n v="2"/>
    <d v="2022-08-30T00:00:00"/>
    <s v="Y857"/>
    <n v="1"/>
    <n v="23"/>
    <n v="148"/>
    <n v="275"/>
    <x v="1"/>
    <x v="0"/>
    <x v="1"/>
    <x v="2"/>
  </r>
  <r>
    <n v="210"/>
    <n v="3"/>
    <d v="2022-08-31T00:00:00"/>
    <s v="Y092"/>
    <n v="0"/>
    <n v="17"/>
    <n v="155"/>
    <n v="97"/>
    <x v="10"/>
    <x v="2"/>
    <x v="10"/>
    <x v="1"/>
  </r>
  <r>
    <n v="211"/>
    <n v="1"/>
    <d v="2022-09-01T00:00:00"/>
    <s v="U466"/>
    <n v="0"/>
    <n v="21"/>
    <n v="154"/>
    <n v="123"/>
    <x v="23"/>
    <x v="2"/>
    <x v="23"/>
    <x v="0"/>
  </r>
  <r>
    <n v="212"/>
    <n v="1"/>
    <d v="2022-09-02T00:00:00"/>
    <s v="U533"/>
    <n v="1"/>
    <n v="17"/>
    <n v="146"/>
    <n v="66"/>
    <x v="21"/>
    <x v="0"/>
    <x v="21"/>
    <x v="0"/>
  </r>
  <r>
    <n v="213"/>
    <n v="2"/>
    <d v="2022-09-03T00:00:00"/>
    <s v="T609"/>
    <n v="1"/>
    <n v="23"/>
    <n v="148"/>
    <n v="110"/>
    <x v="7"/>
    <x v="1"/>
    <x v="7"/>
    <x v="2"/>
  </r>
  <r>
    <n v="214"/>
    <n v="3"/>
    <d v="2022-09-04T00:00:00"/>
    <s v="T562"/>
    <n v="1"/>
    <n v="23"/>
    <n v="146"/>
    <n v="259"/>
    <x v="22"/>
    <x v="1"/>
    <x v="22"/>
    <x v="1"/>
  </r>
  <r>
    <n v="215"/>
    <n v="3"/>
    <d v="2022-09-05T00:00:00"/>
    <s v="T095"/>
    <n v="1"/>
    <n v="28"/>
    <n v="144"/>
    <n v="81"/>
    <x v="8"/>
    <x v="2"/>
    <x v="8"/>
    <x v="1"/>
  </r>
  <r>
    <n v="216"/>
    <n v="3"/>
    <d v="2022-09-06T00:00:00"/>
    <s v="U834"/>
    <n v="0"/>
    <n v="23"/>
    <n v="144"/>
    <n v="131"/>
    <x v="2"/>
    <x v="1"/>
    <x v="2"/>
    <x v="1"/>
  </r>
  <r>
    <n v="217"/>
    <n v="3"/>
    <d v="2022-09-07T00:00:00"/>
    <s v="T244"/>
    <n v="0"/>
    <n v="26"/>
    <n v="139"/>
    <n v="170"/>
    <x v="0"/>
    <x v="0"/>
    <x v="0"/>
    <x v="1"/>
  </r>
  <r>
    <n v="218"/>
    <n v="2"/>
    <d v="2022-09-08T00:00:00"/>
    <s v="T095"/>
    <n v="0"/>
    <n v="29"/>
    <n v="143"/>
    <n v="496"/>
    <x v="8"/>
    <x v="2"/>
    <x v="8"/>
    <x v="2"/>
  </r>
  <r>
    <n v="219"/>
    <n v="3"/>
    <d v="2022-09-09T00:00:00"/>
    <s v="Y847"/>
    <n v="1"/>
    <n v="23"/>
    <n v="140"/>
    <n v="376"/>
    <x v="4"/>
    <x v="0"/>
    <x v="4"/>
    <x v="1"/>
  </r>
  <r>
    <n v="220"/>
    <n v="1"/>
    <d v="2022-09-10T00:00:00"/>
    <s v="T562"/>
    <n v="0"/>
    <n v="24"/>
    <n v="136"/>
    <n v="170"/>
    <x v="22"/>
    <x v="1"/>
    <x v="22"/>
    <x v="0"/>
  </r>
  <r>
    <n v="221"/>
    <n v="3"/>
    <d v="2022-09-11T00:00:00"/>
    <s v="Y092"/>
    <n v="1"/>
    <n v="15"/>
    <n v="111"/>
    <n v="160"/>
    <x v="10"/>
    <x v="2"/>
    <x v="10"/>
    <x v="1"/>
  </r>
  <r>
    <n v="222"/>
    <n v="3"/>
    <d v="2022-09-12T00:00:00"/>
    <s v="Y983"/>
    <n v="1"/>
    <n v="18"/>
    <n v="138"/>
    <n v="137"/>
    <x v="5"/>
    <x v="2"/>
    <x v="5"/>
    <x v="1"/>
  </r>
  <r>
    <n v="223"/>
    <n v="2"/>
    <d v="2022-09-13T00:00:00"/>
    <s v="U345"/>
    <n v="1"/>
    <n v="23"/>
    <n v="118"/>
    <n v="332"/>
    <x v="11"/>
    <x v="0"/>
    <x v="11"/>
    <x v="2"/>
  </r>
  <r>
    <n v="224"/>
    <n v="2"/>
    <d v="2022-09-14T00:00:00"/>
    <s v="Y857"/>
    <n v="0"/>
    <n v="27"/>
    <n v="142"/>
    <n v="165"/>
    <x v="1"/>
    <x v="0"/>
    <x v="1"/>
    <x v="2"/>
  </r>
  <r>
    <n v="225"/>
    <n v="3"/>
    <d v="2022-09-15T00:00:00"/>
    <s v="Y983"/>
    <n v="1"/>
    <n v="25"/>
    <n v="134"/>
    <n v="179"/>
    <x v="5"/>
    <x v="2"/>
    <x v="5"/>
    <x v="1"/>
  </r>
  <r>
    <n v="226"/>
    <n v="1"/>
    <d v="2022-09-16T00:00:00"/>
    <s v="Y784"/>
    <n v="1"/>
    <n v="24"/>
    <n v="158"/>
    <n v="275"/>
    <x v="13"/>
    <x v="1"/>
    <x v="13"/>
    <x v="0"/>
  </r>
  <r>
    <n v="227"/>
    <n v="2"/>
    <d v="2022-09-17T00:00:00"/>
    <s v="U092"/>
    <n v="0"/>
    <n v="18"/>
    <n v="153"/>
    <n v="122"/>
    <x v="14"/>
    <x v="0"/>
    <x v="14"/>
    <x v="2"/>
  </r>
  <r>
    <n v="228"/>
    <n v="2"/>
    <d v="2022-09-18T00:00:00"/>
    <s v="Y092"/>
    <n v="0"/>
    <n v="21"/>
    <n v="152"/>
    <n v="111"/>
    <x v="10"/>
    <x v="2"/>
    <x v="10"/>
    <x v="2"/>
  </r>
  <r>
    <n v="229"/>
    <n v="2"/>
    <d v="2022-09-19T00:00:00"/>
    <s v="T999"/>
    <n v="1"/>
    <n v="17"/>
    <n v="127"/>
    <n v="91"/>
    <x v="15"/>
    <x v="0"/>
    <x v="15"/>
    <x v="2"/>
  </r>
  <r>
    <n v="230"/>
    <n v="2"/>
    <d v="2022-09-20T00:00:00"/>
    <s v="U345"/>
    <n v="0"/>
    <n v="27"/>
    <n v="150"/>
    <n v="139"/>
    <x v="11"/>
    <x v="0"/>
    <x v="11"/>
    <x v="2"/>
  </r>
  <r>
    <n v="231"/>
    <n v="3"/>
    <d v="2022-09-21T00:00:00"/>
    <s v="Y847"/>
    <n v="1"/>
    <n v="20"/>
    <n v="145"/>
    <n v="113"/>
    <x v="4"/>
    <x v="0"/>
    <x v="4"/>
    <x v="1"/>
  </r>
  <r>
    <n v="232"/>
    <n v="1"/>
    <d v="2022-09-22T00:00:00"/>
    <s v="T095"/>
    <n v="1"/>
    <n v="21"/>
    <n v="140"/>
    <n v="165"/>
    <x v="8"/>
    <x v="2"/>
    <x v="8"/>
    <x v="0"/>
  </r>
  <r>
    <n v="233"/>
    <n v="1"/>
    <d v="2022-09-23T00:00:00"/>
    <s v="T857"/>
    <n v="1"/>
    <n v="38"/>
    <n v="144"/>
    <n v="330"/>
    <x v="3"/>
    <x v="2"/>
    <x v="3"/>
    <x v="0"/>
  </r>
  <r>
    <n v="234"/>
    <n v="2"/>
    <d v="2022-09-24T00:00:00"/>
    <s v="U486"/>
    <n v="1"/>
    <n v="32"/>
    <n v="169"/>
    <n v="330"/>
    <x v="16"/>
    <x v="1"/>
    <x v="16"/>
    <x v="2"/>
  </r>
  <r>
    <n v="235"/>
    <n v="1"/>
    <d v="2022-09-25T00:00:00"/>
    <s v="U486"/>
    <n v="1"/>
    <n v="42"/>
    <n v="156"/>
    <n v="328"/>
    <x v="16"/>
    <x v="1"/>
    <x v="16"/>
    <x v="0"/>
  </r>
  <r>
    <n v="236"/>
    <n v="2"/>
    <d v="2022-09-26T00:00:00"/>
    <s v="Y674"/>
    <n v="0"/>
    <n v="35"/>
    <n v="142"/>
    <n v="190"/>
    <x v="20"/>
    <x v="1"/>
    <x v="20"/>
    <x v="2"/>
  </r>
  <r>
    <n v="237"/>
    <n v="3"/>
    <d v="2022-09-27T00:00:00"/>
    <s v="U109"/>
    <n v="1"/>
    <n v="36"/>
    <n v="168"/>
    <n v="639"/>
    <x v="6"/>
    <x v="1"/>
    <x v="6"/>
    <x v="1"/>
  </r>
  <r>
    <n v="238"/>
    <n v="1"/>
    <d v="2022-09-28T00:00:00"/>
    <s v="T562"/>
    <n v="1"/>
    <n v="19"/>
    <n v="186"/>
    <n v="314"/>
    <x v="22"/>
    <x v="1"/>
    <x v="22"/>
    <x v="0"/>
  </r>
  <r>
    <n v="239"/>
    <n v="1"/>
    <d v="2022-09-29T00:00:00"/>
    <s v="Y784"/>
    <n v="0"/>
    <n v="25"/>
    <n v="171"/>
    <n v="224"/>
    <x v="13"/>
    <x v="1"/>
    <x v="13"/>
    <x v="0"/>
  </r>
  <r>
    <n v="240"/>
    <n v="3"/>
    <d v="2022-09-30T00:00:00"/>
    <s v="U466"/>
    <n v="1"/>
    <n v="22"/>
    <n v="161"/>
    <n v="264"/>
    <x v="23"/>
    <x v="2"/>
    <x v="23"/>
    <x v="1"/>
  </r>
  <r>
    <n v="241"/>
    <n v="3"/>
    <d v="2022-10-01T00:00:00"/>
    <s v="Y092"/>
    <n v="0"/>
    <n v="24"/>
    <n v="85"/>
    <n v="275"/>
    <x v="10"/>
    <x v="2"/>
    <x v="10"/>
    <x v="1"/>
  </r>
  <r>
    <n v="242"/>
    <n v="2"/>
    <d v="2022-10-02T00:00:00"/>
    <s v="U533"/>
    <n v="0"/>
    <n v="23"/>
    <n v="145"/>
    <n v="137"/>
    <x v="21"/>
    <x v="0"/>
    <x v="21"/>
    <x v="2"/>
  </r>
  <r>
    <n v="243"/>
    <n v="2"/>
    <d v="2022-10-03T00:00:00"/>
    <s v="U466"/>
    <n v="0"/>
    <n v="15"/>
    <n v="162"/>
    <n v="78"/>
    <x v="23"/>
    <x v="2"/>
    <x v="23"/>
    <x v="2"/>
  </r>
  <r>
    <n v="244"/>
    <n v="3"/>
    <d v="2022-10-04T00:00:00"/>
    <s v="Y857"/>
    <n v="0"/>
    <n v="31"/>
    <n v="153"/>
    <n v="475"/>
    <x v="1"/>
    <x v="0"/>
    <x v="1"/>
    <x v="1"/>
  </r>
  <r>
    <n v="245"/>
    <n v="3"/>
    <d v="2022-10-05T00:00:00"/>
    <s v="T980"/>
    <n v="0"/>
    <n v="22"/>
    <n v="166"/>
    <n v="168"/>
    <x v="12"/>
    <x v="1"/>
    <x v="12"/>
    <x v="1"/>
  </r>
  <r>
    <n v="246"/>
    <n v="3"/>
    <d v="2022-10-06T00:00:00"/>
    <s v="T367"/>
    <n v="0"/>
    <n v="29"/>
    <n v="149"/>
    <n v="216"/>
    <x v="19"/>
    <x v="2"/>
    <x v="19"/>
    <x v="1"/>
  </r>
  <r>
    <n v="247"/>
    <n v="2"/>
    <d v="2022-10-07T00:00:00"/>
    <s v="U092"/>
    <n v="1"/>
    <n v="20"/>
    <n v="156"/>
    <n v="165"/>
    <x v="14"/>
    <x v="0"/>
    <x v="14"/>
    <x v="2"/>
  </r>
  <r>
    <n v="248"/>
    <n v="2"/>
    <d v="2022-10-08T00:00:00"/>
    <s v="U109"/>
    <n v="1"/>
    <n v="24"/>
    <n v="147"/>
    <n v="217"/>
    <x v="6"/>
    <x v="1"/>
    <x v="6"/>
    <x v="2"/>
  </r>
  <r>
    <n v="249"/>
    <n v="1"/>
    <d v="2022-10-09T00:00:00"/>
    <s v="U533"/>
    <n v="1"/>
    <n v="22"/>
    <n v="146"/>
    <n v="122"/>
    <x v="21"/>
    <x v="0"/>
    <x v="21"/>
    <x v="0"/>
  </r>
  <r>
    <n v="250"/>
    <n v="3"/>
    <d v="2022-10-10T00:00:00"/>
    <s v="U109"/>
    <n v="0"/>
    <n v="19"/>
    <n v="170"/>
    <n v="67"/>
    <x v="6"/>
    <x v="1"/>
    <x v="6"/>
    <x v="1"/>
  </r>
  <r>
    <n v="251"/>
    <n v="1"/>
    <d v="2022-10-11T00:00:00"/>
    <s v="Y847"/>
    <n v="1"/>
    <n v="13"/>
    <n v="147"/>
    <n v="110"/>
    <x v="4"/>
    <x v="0"/>
    <x v="4"/>
    <x v="0"/>
  </r>
  <r>
    <n v="252"/>
    <n v="3"/>
    <d v="2022-10-12T00:00:00"/>
    <s v="T980"/>
    <n v="0"/>
    <n v="20"/>
    <n v="145"/>
    <n v="221"/>
    <x v="12"/>
    <x v="1"/>
    <x v="12"/>
    <x v="1"/>
  </r>
  <r>
    <n v="253"/>
    <n v="1"/>
    <d v="2022-10-13T00:00:00"/>
    <s v="Y092"/>
    <n v="0"/>
    <n v="32"/>
    <n v="147"/>
    <n v="165"/>
    <x v="10"/>
    <x v="2"/>
    <x v="10"/>
    <x v="0"/>
  </r>
  <r>
    <n v="254"/>
    <n v="3"/>
    <d v="2022-10-14T00:00:00"/>
    <s v="T367"/>
    <n v="1"/>
    <n v="20"/>
    <n v="147"/>
    <n v="123"/>
    <x v="19"/>
    <x v="2"/>
    <x v="19"/>
    <x v="1"/>
  </r>
  <r>
    <n v="255"/>
    <n v="1"/>
    <d v="2022-10-15T00:00:00"/>
    <s v="Y784"/>
    <n v="0"/>
    <n v="20"/>
    <n v="154"/>
    <n v="154"/>
    <x v="13"/>
    <x v="1"/>
    <x v="13"/>
    <x v="0"/>
  </r>
  <r>
    <n v="256"/>
    <n v="2"/>
    <d v="2022-10-16T00:00:00"/>
    <s v="U092"/>
    <n v="1"/>
    <n v="23"/>
    <n v="135"/>
    <n v="303"/>
    <x v="14"/>
    <x v="0"/>
    <x v="14"/>
    <x v="2"/>
  </r>
  <r>
    <n v="257"/>
    <n v="2"/>
    <d v="2022-10-17T00:00:00"/>
    <s v="Y857"/>
    <n v="0"/>
    <n v="14"/>
    <n v="145"/>
    <n v="54"/>
    <x v="1"/>
    <x v="0"/>
    <x v="1"/>
    <x v="2"/>
  </r>
  <r>
    <n v="258"/>
    <n v="2"/>
    <d v="2022-10-18T00:00:00"/>
    <s v="T980"/>
    <n v="0"/>
    <n v="21"/>
    <n v="149"/>
    <n v="270"/>
    <x v="12"/>
    <x v="1"/>
    <x v="12"/>
    <x v="2"/>
  </r>
  <r>
    <n v="259"/>
    <n v="2"/>
    <d v="2022-10-19T00:00:00"/>
    <s v="U092"/>
    <n v="0"/>
    <n v="16"/>
    <n v="158"/>
    <n v="157"/>
    <x v="14"/>
    <x v="0"/>
    <x v="14"/>
    <x v="2"/>
  </r>
  <r>
    <n v="260"/>
    <n v="3"/>
    <d v="2022-10-20T00:00:00"/>
    <s v="T857"/>
    <n v="1"/>
    <n v="19"/>
    <n v="142"/>
    <n v="229"/>
    <x v="3"/>
    <x v="2"/>
    <x v="3"/>
    <x v="1"/>
  </r>
  <r>
    <n v="261"/>
    <n v="1"/>
    <d v="2022-10-21T00:00:00"/>
    <s v="T367"/>
    <n v="1"/>
    <n v="13"/>
    <n v="142"/>
    <n v="85"/>
    <x v="19"/>
    <x v="2"/>
    <x v="19"/>
    <x v="0"/>
  </r>
  <r>
    <n v="262"/>
    <n v="3"/>
    <d v="2022-10-22T00:00:00"/>
    <s v="T857"/>
    <n v="0"/>
    <n v="8"/>
    <n v="183"/>
    <n v="58"/>
    <x v="3"/>
    <x v="2"/>
    <x v="3"/>
    <x v="1"/>
  </r>
  <r>
    <n v="263"/>
    <n v="3"/>
    <d v="2022-10-23T00:00:00"/>
    <s v="U109"/>
    <n v="0"/>
    <n v="14"/>
    <n v="157"/>
    <n v="59"/>
    <x v="6"/>
    <x v="1"/>
    <x v="6"/>
    <x v="1"/>
  </r>
  <r>
    <n v="264"/>
    <n v="1"/>
    <d v="2022-10-24T00:00:00"/>
    <s v="U466"/>
    <n v="1"/>
    <n v="26"/>
    <n v="124"/>
    <n v="105"/>
    <x v="23"/>
    <x v="2"/>
    <x v="23"/>
    <x v="0"/>
  </r>
  <r>
    <n v="265"/>
    <n v="1"/>
    <d v="2022-10-25T00:00:00"/>
    <s v="T562"/>
    <n v="0"/>
    <n v="20"/>
    <n v="148"/>
    <n v="221"/>
    <x v="22"/>
    <x v="1"/>
    <x v="22"/>
    <x v="0"/>
  </r>
  <r>
    <n v="266"/>
    <n v="3"/>
    <d v="2022-10-26T00:00:00"/>
    <s v="T980"/>
    <n v="1"/>
    <n v="19"/>
    <n v="133"/>
    <n v="109"/>
    <x v="12"/>
    <x v="1"/>
    <x v="12"/>
    <x v="1"/>
  </r>
  <r>
    <n v="267"/>
    <n v="1"/>
    <d v="2022-10-27T00:00:00"/>
    <s v="Y857"/>
    <n v="1"/>
    <n v="26"/>
    <n v="156"/>
    <n v="320"/>
    <x v="1"/>
    <x v="0"/>
    <x v="1"/>
    <x v="0"/>
  </r>
  <r>
    <n v="268"/>
    <n v="2"/>
    <d v="2022-10-28T00:00:00"/>
    <s v="Y341"/>
    <n v="1"/>
    <n v="24"/>
    <n v="145"/>
    <n v="224"/>
    <x v="24"/>
    <x v="2"/>
    <x v="24"/>
    <x v="2"/>
  </r>
  <r>
    <n v="269"/>
    <n v="1"/>
    <d v="2022-10-29T00:00:00"/>
    <s v="Y099"/>
    <n v="0"/>
    <n v="21"/>
    <n v="141"/>
    <n v="179"/>
    <x v="18"/>
    <x v="1"/>
    <x v="18"/>
    <x v="0"/>
  </r>
  <r>
    <n v="270"/>
    <n v="1"/>
    <d v="2022-10-30T00:00:00"/>
    <s v="Y099"/>
    <n v="0"/>
    <n v="13"/>
    <n v="139"/>
    <n v="57"/>
    <x v="18"/>
    <x v="1"/>
    <x v="18"/>
    <x v="0"/>
  </r>
  <r>
    <n v="271"/>
    <n v="1"/>
    <d v="2022-10-31T00:00:00"/>
    <s v="U789"/>
    <n v="0"/>
    <n v="13"/>
    <n v="133"/>
    <n v="78"/>
    <x v="9"/>
    <x v="0"/>
    <x v="9"/>
    <x v="0"/>
  </r>
  <r>
    <n v="272"/>
    <n v="1"/>
    <d v="2022-11-01T00:00:00"/>
    <s v="U546"/>
    <n v="1"/>
    <n v="15"/>
    <n v="143"/>
    <n v="100"/>
    <x v="17"/>
    <x v="2"/>
    <x v="17"/>
    <x v="0"/>
  </r>
  <r>
    <n v="273"/>
    <n v="1"/>
    <d v="2022-11-02T00:00:00"/>
    <s v="U834"/>
    <n v="1"/>
    <n v="21"/>
    <n v="147"/>
    <n v="143"/>
    <x v="2"/>
    <x v="1"/>
    <x v="2"/>
    <x v="0"/>
  </r>
  <r>
    <n v="274"/>
    <n v="2"/>
    <d v="2022-11-03T00:00:00"/>
    <s v="Y784"/>
    <n v="1"/>
    <n v="23"/>
    <n v="148"/>
    <n v="123"/>
    <x v="13"/>
    <x v="1"/>
    <x v="13"/>
    <x v="2"/>
  </r>
  <r>
    <n v="275"/>
    <n v="1"/>
    <d v="2022-11-04T00:00:00"/>
    <s v="U486"/>
    <n v="0"/>
    <n v="20"/>
    <n v="161"/>
    <n v="110"/>
    <x v="16"/>
    <x v="1"/>
    <x v="16"/>
    <x v="0"/>
  </r>
  <r>
    <n v="276"/>
    <n v="3"/>
    <d v="2022-11-05T00:00:00"/>
    <s v="Y092"/>
    <n v="0"/>
    <n v="25"/>
    <n v="147"/>
    <n v="167"/>
    <x v="10"/>
    <x v="2"/>
    <x v="10"/>
    <x v="1"/>
  </r>
  <r>
    <n v="277"/>
    <n v="3"/>
    <d v="2022-11-06T00:00:00"/>
    <s v="Y092"/>
    <n v="0"/>
    <n v="26"/>
    <n v="145"/>
    <n v="124"/>
    <x v="10"/>
    <x v="2"/>
    <x v="10"/>
    <x v="1"/>
  </r>
  <r>
    <n v="278"/>
    <n v="2"/>
    <d v="2022-11-07T00:00:00"/>
    <s v="Y099"/>
    <n v="1"/>
    <n v="14"/>
    <n v="128"/>
    <n v="63"/>
    <x v="18"/>
    <x v="1"/>
    <x v="18"/>
    <x v="2"/>
  </r>
  <r>
    <n v="279"/>
    <n v="3"/>
    <d v="2022-11-08T00:00:00"/>
    <s v="Y784"/>
    <n v="0"/>
    <n v="28"/>
    <n v="133"/>
    <n v="153"/>
    <x v="13"/>
    <x v="1"/>
    <x v="13"/>
    <x v="1"/>
  </r>
  <r>
    <n v="280"/>
    <n v="1"/>
    <d v="2022-11-09T00:00:00"/>
    <s v="Y099"/>
    <n v="1"/>
    <n v="32"/>
    <n v="136"/>
    <n v="236"/>
    <x v="18"/>
    <x v="1"/>
    <x v="18"/>
    <x v="0"/>
  </r>
  <r>
    <n v="281"/>
    <n v="1"/>
    <d v="2022-11-10T00:00:00"/>
    <s v="Y784"/>
    <n v="0"/>
    <n v="45"/>
    <n v="117"/>
    <n v="307"/>
    <x v="13"/>
    <x v="1"/>
    <x v="13"/>
    <x v="0"/>
  </r>
  <r>
    <n v="282"/>
    <n v="1"/>
    <d v="2022-11-11T00:00:00"/>
    <s v="U546"/>
    <n v="0"/>
    <n v="19"/>
    <n v="113"/>
    <n v="151"/>
    <x v="17"/>
    <x v="2"/>
    <x v="17"/>
    <x v="0"/>
  </r>
  <r>
    <n v="283"/>
    <n v="1"/>
    <d v="2022-11-12T00:00:00"/>
    <s v="Y092"/>
    <n v="1"/>
    <n v="20"/>
    <n v="126"/>
    <n v="111"/>
    <x v="10"/>
    <x v="2"/>
    <x v="10"/>
    <x v="0"/>
  </r>
  <r>
    <n v="284"/>
    <n v="3"/>
    <d v="2022-11-13T00:00:00"/>
    <s v="Y784"/>
    <n v="0"/>
    <n v="18"/>
    <n v="126"/>
    <n v="151"/>
    <x v="13"/>
    <x v="1"/>
    <x v="13"/>
    <x v="1"/>
  </r>
  <r>
    <n v="285"/>
    <n v="2"/>
    <d v="2022-11-14T00:00:00"/>
    <s v="U533"/>
    <n v="1"/>
    <n v="13"/>
    <n v="123"/>
    <n v="106"/>
    <x v="21"/>
    <x v="0"/>
    <x v="21"/>
    <x v="2"/>
  </r>
  <r>
    <n v="286"/>
    <n v="1"/>
    <d v="2022-11-15T00:00:00"/>
    <s v="T244"/>
    <n v="1"/>
    <n v="20"/>
    <n v="131"/>
    <n v="276"/>
    <x v="0"/>
    <x v="0"/>
    <x v="0"/>
    <x v="0"/>
  </r>
  <r>
    <n v="287"/>
    <n v="2"/>
    <d v="2022-11-16T00:00:00"/>
    <s v="T367"/>
    <n v="0"/>
    <n v="25"/>
    <n v="135"/>
    <n v="333"/>
    <x v="19"/>
    <x v="2"/>
    <x v="19"/>
    <x v="2"/>
  </r>
  <r>
    <n v="288"/>
    <n v="2"/>
    <d v="2022-11-17T00:00:00"/>
    <s v="T980"/>
    <n v="0"/>
    <n v="15"/>
    <n v="135"/>
    <n v="132"/>
    <x v="12"/>
    <x v="1"/>
    <x v="12"/>
    <x v="2"/>
  </r>
  <r>
    <n v="289"/>
    <n v="3"/>
    <d v="2022-11-18T00:00:00"/>
    <s v="U466"/>
    <n v="0"/>
    <n v="19"/>
    <n v="135"/>
    <n v="275"/>
    <x v="23"/>
    <x v="2"/>
    <x v="23"/>
    <x v="1"/>
  </r>
  <r>
    <n v="290"/>
    <n v="1"/>
    <d v="2022-11-19T00:00:00"/>
    <s v="Y674"/>
    <n v="0"/>
    <n v="19"/>
    <n v="144"/>
    <n v="204"/>
    <x v="20"/>
    <x v="1"/>
    <x v="20"/>
    <x v="0"/>
  </r>
  <r>
    <n v="291"/>
    <n v="1"/>
    <d v="2022-11-20T00:00:00"/>
    <s v="Y857"/>
    <n v="1"/>
    <n v="26"/>
    <n v="143"/>
    <n v="195"/>
    <x v="1"/>
    <x v="0"/>
    <x v="1"/>
    <x v="0"/>
  </r>
  <r>
    <n v="292"/>
    <n v="1"/>
    <d v="2022-11-21T00:00:00"/>
    <s v="T999"/>
    <n v="1"/>
    <n v="29"/>
    <n v="136"/>
    <n v="114"/>
    <x v="15"/>
    <x v="0"/>
    <x v="15"/>
    <x v="0"/>
  </r>
  <r>
    <n v="293"/>
    <n v="2"/>
    <d v="2022-11-22T00:00:00"/>
    <s v="Y857"/>
    <n v="0"/>
    <n v="41"/>
    <n v="140"/>
    <n v="430"/>
    <x v="1"/>
    <x v="0"/>
    <x v="1"/>
    <x v="2"/>
  </r>
  <r>
    <n v="294"/>
    <n v="2"/>
    <d v="2022-11-23T00:00:00"/>
    <s v="U486"/>
    <n v="0"/>
    <n v="21"/>
    <n v="139"/>
    <n v="110"/>
    <x v="16"/>
    <x v="1"/>
    <x v="16"/>
    <x v="2"/>
  </r>
  <r>
    <n v="295"/>
    <n v="3"/>
    <d v="2022-11-24T00:00:00"/>
    <s v="U109"/>
    <n v="0"/>
    <n v="18"/>
    <n v="133"/>
    <n v="134"/>
    <x v="6"/>
    <x v="1"/>
    <x v="6"/>
    <x v="1"/>
  </r>
  <r>
    <n v="296"/>
    <n v="3"/>
    <d v="2022-11-25T00:00:00"/>
    <s v="T999"/>
    <n v="0"/>
    <n v="17"/>
    <n v="143"/>
    <n v="117"/>
    <x v="15"/>
    <x v="0"/>
    <x v="15"/>
    <x v="1"/>
  </r>
  <r>
    <n v="297"/>
    <n v="3"/>
    <d v="2022-11-26T00:00:00"/>
    <s v="U345"/>
    <n v="0"/>
    <n v="30"/>
    <n v="137"/>
    <n v="386"/>
    <x v="11"/>
    <x v="0"/>
    <x v="11"/>
    <x v="1"/>
  </r>
  <r>
    <n v="298"/>
    <n v="3"/>
    <d v="2022-11-27T00:00:00"/>
    <s v="T980"/>
    <n v="0"/>
    <n v="30"/>
    <n v="138"/>
    <n v="220"/>
    <x v="12"/>
    <x v="1"/>
    <x v="12"/>
    <x v="1"/>
  </r>
  <r>
    <n v="299"/>
    <n v="1"/>
    <d v="2022-11-28T00:00:00"/>
    <s v="T999"/>
    <n v="1"/>
    <n v="26"/>
    <n v="131"/>
    <n v="113"/>
    <x v="15"/>
    <x v="0"/>
    <x v="15"/>
    <x v="0"/>
  </r>
  <r>
    <n v="300"/>
    <n v="2"/>
    <d v="2022-11-29T00:00:00"/>
    <s v="U533"/>
    <n v="0"/>
    <n v="23"/>
    <n v="125"/>
    <n v="167"/>
    <x v="21"/>
    <x v="0"/>
    <x v="21"/>
    <x v="2"/>
  </r>
  <r>
    <n v="301"/>
    <n v="2"/>
    <d v="2022-11-30T00:00:00"/>
    <s v="T609"/>
    <n v="0"/>
    <n v="20"/>
    <n v="95"/>
    <n v="173"/>
    <x v="7"/>
    <x v="1"/>
    <x v="7"/>
    <x v="2"/>
  </r>
  <r>
    <n v="302"/>
    <n v="2"/>
    <d v="2022-12-01T00:00:00"/>
    <s v="U345"/>
    <n v="0"/>
    <n v="25"/>
    <n v="134"/>
    <n v="324"/>
    <x v="11"/>
    <x v="0"/>
    <x v="11"/>
    <x v="2"/>
  </r>
  <r>
    <n v="303"/>
    <n v="2"/>
    <d v="2022-12-02T00:00:00"/>
    <s v="Y784"/>
    <n v="1"/>
    <n v="26"/>
    <n v="134"/>
    <n v="85"/>
    <x v="13"/>
    <x v="1"/>
    <x v="13"/>
    <x v="2"/>
  </r>
  <r>
    <n v="304"/>
    <n v="2"/>
    <d v="2022-12-03T00:00:00"/>
    <s v="Y784"/>
    <n v="0"/>
    <n v="26"/>
    <n v="135"/>
    <n v="195"/>
    <x v="13"/>
    <x v="1"/>
    <x v="13"/>
    <x v="2"/>
  </r>
  <r>
    <n v="305"/>
    <n v="1"/>
    <d v="2022-12-04T00:00:00"/>
    <s v="U546"/>
    <n v="0"/>
    <n v="33"/>
    <n v="139"/>
    <n v="178"/>
    <x v="17"/>
    <x v="2"/>
    <x v="17"/>
    <x v="0"/>
  </r>
  <r>
    <n v="306"/>
    <n v="1"/>
    <d v="2022-12-05T00:00:00"/>
    <s v="U834"/>
    <n v="0"/>
    <n v="19"/>
    <n v="113"/>
    <n v="112"/>
    <x v="2"/>
    <x v="1"/>
    <x v="2"/>
    <x v="0"/>
  </r>
  <r>
    <n v="307"/>
    <n v="1"/>
    <d v="2022-12-06T00:00:00"/>
    <s v="T980"/>
    <n v="0"/>
    <n v="29"/>
    <n v="128"/>
    <n v="247"/>
    <x v="12"/>
    <x v="1"/>
    <x v="12"/>
    <x v="0"/>
  </r>
  <r>
    <n v="308"/>
    <n v="1"/>
    <d v="2022-12-07T00:00:00"/>
    <s v="Y847"/>
    <n v="0"/>
    <n v="29"/>
    <n v="143"/>
    <n v="221"/>
    <x v="4"/>
    <x v="0"/>
    <x v="4"/>
    <x v="0"/>
  </r>
  <r>
    <n v="309"/>
    <n v="1"/>
    <d v="2022-12-08T00:00:00"/>
    <s v="Y857"/>
    <n v="0"/>
    <n v="28"/>
    <n v="141"/>
    <n v="411"/>
    <x v="1"/>
    <x v="0"/>
    <x v="1"/>
    <x v="0"/>
  </r>
  <r>
    <n v="310"/>
    <n v="3"/>
    <d v="2022-12-09T00:00:00"/>
    <s v="Y784"/>
    <n v="0"/>
    <n v="18"/>
    <n v="134"/>
    <n v="128"/>
    <x v="13"/>
    <x v="1"/>
    <x v="13"/>
    <x v="1"/>
  </r>
  <r>
    <n v="311"/>
    <n v="3"/>
    <d v="2022-12-10T00:00:00"/>
    <s v="U789"/>
    <n v="0"/>
    <n v="16"/>
    <n v="139"/>
    <n v="102"/>
    <x v="9"/>
    <x v="0"/>
    <x v="9"/>
    <x v="1"/>
  </r>
  <r>
    <n v="312"/>
    <n v="1"/>
    <d v="2022-12-11T00:00:00"/>
    <s v="U533"/>
    <n v="1"/>
    <n v="8"/>
    <n v="126"/>
    <n v="121"/>
    <x v="21"/>
    <x v="0"/>
    <x v="21"/>
    <x v="0"/>
  </r>
  <r>
    <n v="313"/>
    <n v="1"/>
    <d v="2022-12-12T00:00:00"/>
    <s v="T609"/>
    <n v="0"/>
    <n v="11"/>
    <n v="142"/>
    <n v="116"/>
    <x v="7"/>
    <x v="1"/>
    <x v="7"/>
    <x v="0"/>
  </r>
  <r>
    <n v="314"/>
    <n v="3"/>
    <d v="2022-12-13T00:00:00"/>
    <s v="T999"/>
    <n v="0"/>
    <n v="13"/>
    <n v="127"/>
    <n v="155"/>
    <x v="15"/>
    <x v="0"/>
    <x v="15"/>
    <x v="1"/>
  </r>
  <r>
    <n v="315"/>
    <n v="1"/>
    <d v="2022-12-14T00:00:00"/>
    <s v="T609"/>
    <n v="1"/>
    <n v="15"/>
    <n v="139"/>
    <n v="228"/>
    <x v="7"/>
    <x v="1"/>
    <x v="7"/>
    <x v="0"/>
  </r>
  <r>
    <n v="316"/>
    <n v="1"/>
    <d v="2022-12-15T00:00:00"/>
    <s v="U109"/>
    <n v="0"/>
    <n v="21"/>
    <n v="141"/>
    <n v="282"/>
    <x v="6"/>
    <x v="1"/>
    <x v="6"/>
    <x v="0"/>
  </r>
  <r>
    <n v="317"/>
    <n v="2"/>
    <d v="2022-12-16T00:00:00"/>
    <s v="Y341"/>
    <n v="1"/>
    <n v="17"/>
    <n v="143"/>
    <n v="220"/>
    <x v="24"/>
    <x v="2"/>
    <x v="24"/>
    <x v="2"/>
  </r>
  <r>
    <n v="318"/>
    <n v="3"/>
    <d v="2022-12-17T00:00:00"/>
    <s v="T244"/>
    <n v="1"/>
    <n v="22"/>
    <n v="130"/>
    <n v="401"/>
    <x v="0"/>
    <x v="0"/>
    <x v="0"/>
    <x v="1"/>
  </r>
  <r>
    <n v="319"/>
    <n v="1"/>
    <d v="2022-12-18T00:00:00"/>
    <s v="U466"/>
    <n v="0"/>
    <n v="22"/>
    <n v="143"/>
    <n v="206"/>
    <x v="23"/>
    <x v="2"/>
    <x v="23"/>
    <x v="0"/>
  </r>
  <r>
    <n v="320"/>
    <n v="2"/>
    <d v="2022-12-19T00:00:00"/>
    <s v="U834"/>
    <n v="0"/>
    <n v="25"/>
    <n v="152"/>
    <n v="125"/>
    <x v="2"/>
    <x v="1"/>
    <x v="2"/>
    <x v="2"/>
  </r>
  <r>
    <n v="321"/>
    <n v="3"/>
    <d v="2022-12-20T00:00:00"/>
    <s v="U789"/>
    <n v="0"/>
    <n v="48"/>
    <n v="135"/>
    <n v="313"/>
    <x v="9"/>
    <x v="0"/>
    <x v="9"/>
    <x v="1"/>
  </r>
  <r>
    <n v="322"/>
    <n v="2"/>
    <d v="2022-12-21T00:00:00"/>
    <s v="Y784"/>
    <n v="1"/>
    <n v="21"/>
    <n v="130"/>
    <n v="165"/>
    <x v="13"/>
    <x v="1"/>
    <x v="13"/>
    <x v="2"/>
  </r>
  <r>
    <n v="323"/>
    <n v="2"/>
    <d v="2022-12-22T00:00:00"/>
    <s v="Y099"/>
    <n v="1"/>
    <n v="16"/>
    <n v="140"/>
    <n v="135"/>
    <x v="18"/>
    <x v="1"/>
    <x v="18"/>
    <x v="2"/>
  </r>
  <r>
    <n v="324"/>
    <n v="2"/>
    <d v="2022-12-23T00:00:00"/>
    <s v="U109"/>
    <n v="0"/>
    <n v="18"/>
    <n v="141"/>
    <n v="137"/>
    <x v="6"/>
    <x v="1"/>
    <x v="6"/>
    <x v="2"/>
  </r>
  <r>
    <n v="325"/>
    <n v="2"/>
    <d v="2022-12-24T00:00:00"/>
    <s v="Y784"/>
    <n v="1"/>
    <n v="29"/>
    <n v="119"/>
    <n v="221"/>
    <x v="13"/>
    <x v="1"/>
    <x v="13"/>
    <x v="2"/>
  </r>
  <r>
    <n v="326"/>
    <n v="2"/>
    <d v="2022-12-25T00:00:00"/>
    <s v="Y983"/>
    <n v="0"/>
    <n v="24"/>
    <n v="132"/>
    <n v="385"/>
    <x v="5"/>
    <x v="2"/>
    <x v="5"/>
    <x v="2"/>
  </r>
  <r>
    <n v="327"/>
    <n v="1"/>
    <d v="2022-12-26T00:00:00"/>
    <s v="U789"/>
    <n v="1"/>
    <n v="33"/>
    <n v="178"/>
    <n v="136"/>
    <x v="9"/>
    <x v="0"/>
    <x v="9"/>
    <x v="0"/>
  </r>
  <r>
    <n v="328"/>
    <n v="1"/>
    <d v="2022-12-27T00:00:00"/>
    <s v="T999"/>
    <n v="1"/>
    <n v="24"/>
    <n v="138"/>
    <n v="140"/>
    <x v="15"/>
    <x v="0"/>
    <x v="15"/>
    <x v="0"/>
  </r>
  <r>
    <n v="329"/>
    <n v="1"/>
    <d v="2022-12-28T00:00:00"/>
    <s v="Y983"/>
    <n v="1"/>
    <n v="24"/>
    <n v="142"/>
    <n v="168"/>
    <x v="5"/>
    <x v="2"/>
    <x v="5"/>
    <x v="0"/>
  </r>
  <r>
    <n v="330"/>
    <n v="3"/>
    <d v="2022-12-29T00:00:00"/>
    <s v="U109"/>
    <n v="1"/>
    <n v="38"/>
    <n v="137"/>
    <n v="641"/>
    <x v="6"/>
    <x v="1"/>
    <x v="6"/>
    <x v="1"/>
  </r>
  <r>
    <n v="331"/>
    <n v="1"/>
    <d v="2022-12-30T00:00:00"/>
    <s v="T857"/>
    <n v="0"/>
    <n v="30"/>
    <n v="144"/>
    <n v="312"/>
    <x v="3"/>
    <x v="2"/>
    <x v="3"/>
    <x v="0"/>
  </r>
  <r>
    <n v="332"/>
    <n v="3"/>
    <d v="2022-12-31T00:00:00"/>
    <s v="Y341"/>
    <n v="0"/>
    <n v="25"/>
    <n v="124"/>
    <n v="220"/>
    <x v="24"/>
    <x v="2"/>
    <x v="24"/>
    <x v="1"/>
  </r>
  <r>
    <n v="333"/>
    <n v="3"/>
    <d v="2023-01-01T00:00:00"/>
    <s v="T095"/>
    <n v="0"/>
    <n v="28"/>
    <n v="145"/>
    <n v="260"/>
    <x v="8"/>
    <x v="2"/>
    <x v="8"/>
    <x v="1"/>
  </r>
  <r>
    <n v="334"/>
    <n v="3"/>
    <d v="2023-01-02T00:00:00"/>
    <s v="U834"/>
    <n v="1"/>
    <n v="37"/>
    <n v="156"/>
    <n v="190"/>
    <x v="2"/>
    <x v="1"/>
    <x v="2"/>
    <x v="1"/>
  </r>
  <r>
    <n v="335"/>
    <n v="2"/>
    <d v="2023-01-03T00:00:00"/>
    <s v="Y092"/>
    <n v="1"/>
    <n v="23"/>
    <n v="145"/>
    <n v="165"/>
    <x v="10"/>
    <x v="2"/>
    <x v="10"/>
    <x v="2"/>
  </r>
  <r>
    <n v="336"/>
    <n v="3"/>
    <d v="2023-01-04T00:00:00"/>
    <s v="Y341"/>
    <n v="1"/>
    <n v="29"/>
    <n v="136"/>
    <n v="165"/>
    <x v="24"/>
    <x v="2"/>
    <x v="24"/>
    <x v="1"/>
  </r>
  <r>
    <n v="337"/>
    <n v="1"/>
    <d v="2023-01-05T00:00:00"/>
    <s v="Y092"/>
    <n v="0"/>
    <n v="26"/>
    <n v="143"/>
    <n v="191"/>
    <x v="10"/>
    <x v="2"/>
    <x v="10"/>
    <x v="0"/>
  </r>
  <r>
    <n v="338"/>
    <n v="3"/>
    <d v="2023-01-06T00:00:00"/>
    <s v="T999"/>
    <n v="1"/>
    <n v="26"/>
    <n v="134"/>
    <n v="194"/>
    <x v="15"/>
    <x v="0"/>
    <x v="15"/>
    <x v="1"/>
  </r>
  <r>
    <n v="339"/>
    <n v="1"/>
    <d v="2023-01-07T00:00:00"/>
    <s v="U834"/>
    <n v="1"/>
    <n v="23"/>
    <n v="145"/>
    <n v="112"/>
    <x v="2"/>
    <x v="1"/>
    <x v="2"/>
    <x v="0"/>
  </r>
  <r>
    <n v="340"/>
    <n v="2"/>
    <d v="2023-01-08T00:00:00"/>
    <s v="U345"/>
    <n v="0"/>
    <n v="33"/>
    <n v="162"/>
    <n v="196"/>
    <x v="11"/>
    <x v="0"/>
    <x v="11"/>
    <x v="2"/>
  </r>
  <r>
    <n v="341"/>
    <n v="3"/>
    <d v="2023-01-09T00:00:00"/>
    <s v="T609"/>
    <n v="0"/>
    <n v="40"/>
    <n v="155"/>
    <n v="192"/>
    <x v="7"/>
    <x v="1"/>
    <x v="7"/>
    <x v="1"/>
  </r>
  <r>
    <n v="342"/>
    <n v="2"/>
    <d v="2023-01-10T00:00:00"/>
    <s v="T367"/>
    <n v="0"/>
    <n v="32"/>
    <n v="136"/>
    <n v="220"/>
    <x v="19"/>
    <x v="2"/>
    <x v="19"/>
    <x v="2"/>
  </r>
  <r>
    <n v="343"/>
    <n v="2"/>
    <d v="2023-01-11T00:00:00"/>
    <s v="T609"/>
    <n v="1"/>
    <n v="35"/>
    <n v="138"/>
    <n v="220"/>
    <x v="7"/>
    <x v="1"/>
    <x v="7"/>
    <x v="2"/>
  </r>
  <r>
    <n v="344"/>
    <n v="1"/>
    <d v="2023-01-12T00:00:00"/>
    <s v="T999"/>
    <n v="1"/>
    <n v="28"/>
    <n v="130"/>
    <n v="244"/>
    <x v="15"/>
    <x v="0"/>
    <x v="15"/>
    <x v="0"/>
  </r>
  <r>
    <n v="345"/>
    <n v="3"/>
    <d v="2023-01-13T00:00:00"/>
    <s v="Y983"/>
    <n v="0"/>
    <n v="41"/>
    <n v="136"/>
    <n v="311"/>
    <x v="5"/>
    <x v="2"/>
    <x v="5"/>
    <x v="1"/>
  </r>
  <r>
    <n v="346"/>
    <n v="3"/>
    <d v="2023-01-14T00:00:00"/>
    <s v="Y983"/>
    <n v="0"/>
    <n v="28"/>
    <n v="140"/>
    <n v="239"/>
    <x v="5"/>
    <x v="2"/>
    <x v="5"/>
    <x v="1"/>
  </r>
  <r>
    <n v="347"/>
    <n v="1"/>
    <d v="2023-01-15T00:00:00"/>
    <s v="U789"/>
    <n v="0"/>
    <n v="22"/>
    <n v="128"/>
    <n v="442"/>
    <x v="9"/>
    <x v="0"/>
    <x v="9"/>
    <x v="0"/>
  </r>
  <r>
    <n v="348"/>
    <n v="3"/>
    <d v="2023-01-16T00:00:00"/>
    <s v="T609"/>
    <n v="1"/>
    <n v="13"/>
    <n v="150"/>
    <n v="62"/>
    <x v="7"/>
    <x v="1"/>
    <x v="7"/>
    <x v="1"/>
  </r>
  <r>
    <n v="349"/>
    <n v="2"/>
    <d v="2023-01-17T00:00:00"/>
    <s v="T367"/>
    <n v="1"/>
    <n v="23"/>
    <n v="128"/>
    <n v="189"/>
    <x v="19"/>
    <x v="2"/>
    <x v="19"/>
    <x v="2"/>
  </r>
  <r>
    <n v="350"/>
    <n v="3"/>
    <d v="2023-01-18T00:00:00"/>
    <s v="Y847"/>
    <n v="1"/>
    <n v="25"/>
    <n v="135"/>
    <n v="172"/>
    <x v="4"/>
    <x v="0"/>
    <x v="4"/>
    <x v="1"/>
  </r>
  <r>
    <n v="351"/>
    <n v="2"/>
    <d v="2023-01-19T00:00:00"/>
    <s v="Y983"/>
    <n v="1"/>
    <n v="34"/>
    <n v="150"/>
    <n v="461"/>
    <x v="5"/>
    <x v="2"/>
    <x v="5"/>
    <x v="2"/>
  </r>
  <r>
    <n v="352"/>
    <n v="1"/>
    <d v="2023-01-20T00:00:00"/>
    <s v="U092"/>
    <n v="1"/>
    <n v="57"/>
    <n v="115"/>
    <n v="348"/>
    <x v="14"/>
    <x v="0"/>
    <x v="14"/>
    <x v="0"/>
  </r>
  <r>
    <n v="353"/>
    <n v="3"/>
    <d v="2023-01-21T00:00:00"/>
    <s v="T999"/>
    <n v="1"/>
    <n v="42"/>
    <n v="125"/>
    <n v="606"/>
    <x v="15"/>
    <x v="0"/>
    <x v="15"/>
    <x v="1"/>
  </r>
  <r>
    <n v="354"/>
    <n v="2"/>
    <d v="2023-01-22T00:00:00"/>
    <s v="U533"/>
    <n v="0"/>
    <n v="24"/>
    <n v="141"/>
    <n v="192"/>
    <x v="21"/>
    <x v="0"/>
    <x v="21"/>
    <x v="2"/>
  </r>
  <r>
    <n v="355"/>
    <n v="2"/>
    <d v="2023-01-23T00:00:00"/>
    <s v="U834"/>
    <n v="0"/>
    <n v="16"/>
    <n v="131"/>
    <n v="201"/>
    <x v="2"/>
    <x v="1"/>
    <x v="2"/>
    <x v="2"/>
  </r>
  <r>
    <n v="356"/>
    <n v="1"/>
    <d v="2023-01-24T00:00:00"/>
    <s v="U345"/>
    <n v="0"/>
    <n v="25"/>
    <n v="142"/>
    <n v="110"/>
    <x v="11"/>
    <x v="0"/>
    <x v="11"/>
    <x v="0"/>
  </r>
  <r>
    <n v="357"/>
    <n v="1"/>
    <d v="2023-01-25T00:00:00"/>
    <s v="T999"/>
    <n v="1"/>
    <n v="22"/>
    <n v="139"/>
    <n v="127"/>
    <x v="15"/>
    <x v="0"/>
    <x v="15"/>
    <x v="0"/>
  </r>
  <r>
    <n v="358"/>
    <n v="3"/>
    <d v="2023-01-26T00:00:00"/>
    <s v="U345"/>
    <n v="1"/>
    <n v="32"/>
    <n v="150"/>
    <n v="234"/>
    <x v="11"/>
    <x v="0"/>
    <x v="11"/>
    <x v="1"/>
  </r>
  <r>
    <n v="359"/>
    <n v="3"/>
    <d v="2023-01-27T00:00:00"/>
    <s v="U834"/>
    <n v="1"/>
    <n v="28"/>
    <n v="142"/>
    <n v="330"/>
    <x v="2"/>
    <x v="1"/>
    <x v="2"/>
    <x v="1"/>
  </r>
  <r>
    <n v="360"/>
    <n v="1"/>
    <d v="2023-01-28T00:00:00"/>
    <s v="T999"/>
    <n v="0"/>
    <n v="35"/>
    <n v="135"/>
    <n v="204"/>
    <x v="15"/>
    <x v="0"/>
    <x v="15"/>
    <x v="0"/>
  </r>
  <r>
    <n v="361"/>
    <n v="1"/>
    <d v="2023-01-29T00:00:00"/>
    <s v="T562"/>
    <n v="1"/>
    <n v="34"/>
    <n v="145"/>
    <n v="166"/>
    <x v="22"/>
    <x v="1"/>
    <x v="22"/>
    <x v="0"/>
  </r>
  <r>
    <n v="362"/>
    <n v="3"/>
    <d v="2023-01-30T00:00:00"/>
    <s v="T999"/>
    <n v="0"/>
    <n v="26"/>
    <n v="117"/>
    <n v="177"/>
    <x v="15"/>
    <x v="0"/>
    <x v="15"/>
    <x v="1"/>
  </r>
  <r>
    <n v="363"/>
    <n v="3"/>
    <d v="2023-01-31T00:00:00"/>
    <s v="U109"/>
    <n v="1"/>
    <n v="37"/>
    <n v="137"/>
    <n v="385"/>
    <x v="6"/>
    <x v="1"/>
    <x v="6"/>
    <x v="1"/>
  </r>
  <r>
    <n v="364"/>
    <n v="2"/>
    <d v="2023-02-01T00:00:00"/>
    <s v="Y341"/>
    <n v="0"/>
    <n v="33"/>
    <n v="143"/>
    <n v="220"/>
    <x v="24"/>
    <x v="2"/>
    <x v="24"/>
    <x v="2"/>
  </r>
  <r>
    <n v="365"/>
    <n v="2"/>
    <d v="2023-02-02T00:00:00"/>
    <s v="Y674"/>
    <n v="0"/>
    <n v="34"/>
    <n v="144"/>
    <n v="172"/>
    <x v="20"/>
    <x v="1"/>
    <x v="20"/>
    <x v="2"/>
  </r>
  <r>
    <n v="366"/>
    <n v="3"/>
    <d v="2023-02-03T00:00:00"/>
    <s v="U533"/>
    <n v="0"/>
    <n v="45"/>
    <n v="151"/>
    <n v="264"/>
    <x v="21"/>
    <x v="0"/>
    <x v="21"/>
    <x v="1"/>
  </r>
  <r>
    <n v="367"/>
    <n v="1"/>
    <d v="2023-02-04T00:00:00"/>
    <s v="T244"/>
    <n v="1"/>
    <n v="32"/>
    <n v="137"/>
    <n v="202"/>
    <x v="0"/>
    <x v="0"/>
    <x v="0"/>
    <x v="0"/>
  </r>
  <r>
    <n v="368"/>
    <n v="3"/>
    <d v="2023-02-05T00:00:00"/>
    <s v="T244"/>
    <n v="1"/>
    <n v="32"/>
    <n v="133"/>
    <n v="416"/>
    <x v="0"/>
    <x v="0"/>
    <x v="0"/>
    <x v="1"/>
  </r>
  <r>
    <n v="369"/>
    <n v="3"/>
    <d v="2023-02-06T00:00:00"/>
    <s v="Y847"/>
    <n v="0"/>
    <n v="32"/>
    <n v="154"/>
    <n v="157"/>
    <x v="4"/>
    <x v="0"/>
    <x v="4"/>
    <x v="1"/>
  </r>
  <r>
    <n v="370"/>
    <n v="2"/>
    <d v="2023-02-07T00:00:00"/>
    <s v="T562"/>
    <n v="1"/>
    <n v="38"/>
    <n v="125"/>
    <n v="330"/>
    <x v="22"/>
    <x v="1"/>
    <x v="22"/>
    <x v="2"/>
  </r>
  <r>
    <n v="371"/>
    <n v="3"/>
    <d v="2023-02-08T00:00:00"/>
    <s v="T609"/>
    <n v="0"/>
    <n v="41"/>
    <n v="145"/>
    <n v="220"/>
    <x v="7"/>
    <x v="1"/>
    <x v="7"/>
    <x v="1"/>
  </r>
  <r>
    <n v="372"/>
    <n v="3"/>
    <d v="2023-02-09T00:00:00"/>
    <s v="U546"/>
    <n v="0"/>
    <n v="29"/>
    <n v="149"/>
    <n v="116"/>
    <x v="17"/>
    <x v="2"/>
    <x v="17"/>
    <x v="1"/>
  </r>
  <r>
    <n v="373"/>
    <n v="1"/>
    <d v="2023-02-10T00:00:00"/>
    <s v="U789"/>
    <n v="0"/>
    <n v="30"/>
    <n v="138"/>
    <n v="190"/>
    <x v="9"/>
    <x v="0"/>
    <x v="9"/>
    <x v="0"/>
  </r>
  <r>
    <n v="374"/>
    <n v="1"/>
    <d v="2023-02-11T00:00:00"/>
    <s v="Y341"/>
    <n v="0"/>
    <n v="49"/>
    <n v="146"/>
    <n v="456"/>
    <x v="24"/>
    <x v="2"/>
    <x v="24"/>
    <x v="0"/>
  </r>
  <r>
    <n v="375"/>
    <n v="2"/>
    <d v="2023-02-12T00:00:00"/>
    <s v="U486"/>
    <n v="0"/>
    <n v="24"/>
    <n v="134"/>
    <n v="114"/>
    <x v="16"/>
    <x v="1"/>
    <x v="16"/>
    <x v="2"/>
  </r>
  <r>
    <n v="376"/>
    <n v="3"/>
    <d v="2023-02-13T00:00:00"/>
    <s v="U834"/>
    <n v="1"/>
    <n v="6"/>
    <n v="135"/>
    <n v="46"/>
    <x v="2"/>
    <x v="1"/>
    <x v="2"/>
    <x v="1"/>
  </r>
  <r>
    <n v="377"/>
    <n v="3"/>
    <d v="2023-02-14T00:00:00"/>
    <s v="U533"/>
    <n v="0"/>
    <n v="31"/>
    <n v="141"/>
    <n v="242"/>
    <x v="21"/>
    <x v="0"/>
    <x v="21"/>
    <x v="1"/>
  </r>
  <r>
    <n v="378"/>
    <n v="2"/>
    <d v="2023-02-15T00:00:00"/>
    <s v="Y092"/>
    <n v="0"/>
    <n v="34"/>
    <n v="141"/>
    <n v="385"/>
    <x v="10"/>
    <x v="2"/>
    <x v="10"/>
    <x v="2"/>
  </r>
  <r>
    <n v="379"/>
    <n v="3"/>
    <d v="2023-02-16T00:00:00"/>
    <s v="T857"/>
    <n v="1"/>
    <n v="45"/>
    <n v="138"/>
    <n v="435"/>
    <x v="3"/>
    <x v="2"/>
    <x v="3"/>
    <x v="1"/>
  </r>
  <r>
    <n v="380"/>
    <n v="2"/>
    <d v="2023-02-17T00:00:00"/>
    <s v="T244"/>
    <n v="1"/>
    <n v="22"/>
    <n v="137"/>
    <n v="135"/>
    <x v="0"/>
    <x v="0"/>
    <x v="0"/>
    <x v="2"/>
  </r>
  <r>
    <n v="381"/>
    <n v="1"/>
    <d v="2023-02-18T00:00:00"/>
    <s v="T609"/>
    <n v="0"/>
    <n v="24"/>
    <n v="132"/>
    <n v="208"/>
    <x v="7"/>
    <x v="1"/>
    <x v="7"/>
    <x v="0"/>
  </r>
  <r>
    <n v="382"/>
    <n v="1"/>
    <d v="2023-02-19T00:00:00"/>
    <s v="T244"/>
    <n v="0"/>
    <n v="27"/>
    <n v="139"/>
    <n v="199"/>
    <x v="0"/>
    <x v="0"/>
    <x v="0"/>
    <x v="0"/>
  </r>
  <r>
    <n v="383"/>
    <n v="3"/>
    <d v="2023-02-20T00:00:00"/>
    <s v="U466"/>
    <n v="1"/>
    <n v="37"/>
    <n v="138"/>
    <n v="196"/>
    <x v="23"/>
    <x v="2"/>
    <x v="23"/>
    <x v="1"/>
  </r>
  <r>
    <n v="384"/>
    <n v="3"/>
    <d v="2023-02-21T00:00:00"/>
    <s v="T999"/>
    <n v="1"/>
    <n v="28"/>
    <n v="138"/>
    <n v="147"/>
    <x v="15"/>
    <x v="0"/>
    <x v="15"/>
    <x v="1"/>
  </r>
  <r>
    <n v="385"/>
    <n v="3"/>
    <d v="2023-02-22T00:00:00"/>
    <s v="U546"/>
    <n v="0"/>
    <n v="31"/>
    <n v="144"/>
    <n v="220"/>
    <x v="17"/>
    <x v="2"/>
    <x v="17"/>
    <x v="1"/>
  </r>
  <r>
    <n v="386"/>
    <n v="3"/>
    <d v="2023-02-23T00:00:00"/>
    <s v="U092"/>
    <n v="1"/>
    <n v="28"/>
    <n v="133"/>
    <n v="293"/>
    <x v="14"/>
    <x v="0"/>
    <x v="14"/>
    <x v="1"/>
  </r>
  <r>
    <n v="387"/>
    <n v="3"/>
    <d v="2023-02-24T00:00:00"/>
    <s v="U533"/>
    <n v="0"/>
    <n v="35"/>
    <n v="159"/>
    <n v="281"/>
    <x v="21"/>
    <x v="0"/>
    <x v="21"/>
    <x v="1"/>
  </r>
  <r>
    <n v="388"/>
    <n v="1"/>
    <d v="2023-02-25T00:00:00"/>
    <s v="T562"/>
    <n v="1"/>
    <n v="35"/>
    <n v="143"/>
    <n v="338"/>
    <x v="22"/>
    <x v="1"/>
    <x v="22"/>
    <x v="0"/>
  </r>
  <r>
    <n v="389"/>
    <n v="3"/>
    <d v="2023-02-26T00:00:00"/>
    <s v="U834"/>
    <n v="1"/>
    <n v="33"/>
    <n v="145"/>
    <n v="272"/>
    <x v="2"/>
    <x v="1"/>
    <x v="2"/>
    <x v="1"/>
  </r>
  <r>
    <n v="390"/>
    <n v="3"/>
    <d v="2023-02-27T00:00:00"/>
    <s v="T367"/>
    <n v="0"/>
    <n v="40"/>
    <n v="160"/>
    <n v="192"/>
    <x v="19"/>
    <x v="2"/>
    <x v="19"/>
    <x v="1"/>
  </r>
  <r>
    <n v="391"/>
    <n v="1"/>
    <d v="2023-02-28T00:00:00"/>
    <s v="U466"/>
    <n v="0"/>
    <n v="31"/>
    <n v="143"/>
    <n v="170"/>
    <x v="23"/>
    <x v="2"/>
    <x v="23"/>
    <x v="0"/>
  </r>
  <r>
    <n v="392"/>
    <n v="3"/>
    <d v="2023-03-01T00:00:00"/>
    <s v="Y784"/>
    <n v="1"/>
    <n v="27"/>
    <n v="144"/>
    <n v="388"/>
    <x v="13"/>
    <x v="1"/>
    <x v="13"/>
    <x v="1"/>
  </r>
  <r>
    <n v="393"/>
    <n v="2"/>
    <d v="2023-03-02T00:00:00"/>
    <s v="T999"/>
    <n v="0"/>
    <n v="27"/>
    <n v="135"/>
    <n v="107"/>
    <x v="15"/>
    <x v="0"/>
    <x v="15"/>
    <x v="2"/>
  </r>
  <r>
    <n v="394"/>
    <n v="2"/>
    <d v="2023-03-03T00:00:00"/>
    <s v="T562"/>
    <n v="1"/>
    <n v="29"/>
    <n v="151"/>
    <n v="220"/>
    <x v="22"/>
    <x v="1"/>
    <x v="22"/>
    <x v="2"/>
  </r>
  <r>
    <n v="395"/>
    <n v="3"/>
    <d v="2023-03-04T00:00:00"/>
    <s v="Y099"/>
    <n v="0"/>
    <n v="26"/>
    <n v="142"/>
    <n v="356"/>
    <x v="18"/>
    <x v="1"/>
    <x v="18"/>
    <x v="1"/>
  </r>
  <r>
    <n v="396"/>
    <n v="3"/>
    <d v="2023-03-05T00:00:00"/>
    <s v="T095"/>
    <n v="1"/>
    <n v="26"/>
    <n v="144"/>
    <n v="319"/>
    <x v="8"/>
    <x v="2"/>
    <x v="8"/>
    <x v="1"/>
  </r>
  <r>
    <n v="397"/>
    <n v="1"/>
    <d v="2023-03-06T00:00:00"/>
    <s v="Y341"/>
    <n v="1"/>
    <n v="8"/>
    <n v="130"/>
    <n v="47"/>
    <x v="24"/>
    <x v="2"/>
    <x v="24"/>
    <x v="0"/>
  </r>
  <r>
    <n v="398"/>
    <n v="2"/>
    <d v="2023-03-07T00:00:00"/>
    <s v="U466"/>
    <n v="1"/>
    <n v="35"/>
    <n v="146"/>
    <n v="266"/>
    <x v="23"/>
    <x v="2"/>
    <x v="23"/>
    <x v="2"/>
  </r>
  <r>
    <n v="399"/>
    <n v="3"/>
    <d v="2023-03-08T00:00:00"/>
    <s v="Y857"/>
    <n v="0"/>
    <n v="19"/>
    <n v="137"/>
    <n v="223"/>
    <x v="1"/>
    <x v="0"/>
    <x v="1"/>
    <x v="1"/>
  </r>
  <r>
    <n v="400"/>
    <n v="3"/>
    <d v="2023-03-09T00:00:00"/>
    <s v="U834"/>
    <n v="0"/>
    <n v="22"/>
    <n v="148"/>
    <n v="221"/>
    <x v="2"/>
    <x v="1"/>
    <x v="2"/>
    <x v="1"/>
  </r>
  <r>
    <n v="401"/>
    <n v="2"/>
    <d v="2023-03-10T00:00:00"/>
    <s v="Y099"/>
    <n v="0"/>
    <n v="26"/>
    <n v="127"/>
    <n v="232"/>
    <x v="18"/>
    <x v="1"/>
    <x v="18"/>
    <x v="2"/>
  </r>
  <r>
    <n v="402"/>
    <n v="2"/>
    <d v="2023-03-11T00:00:00"/>
    <s v="U486"/>
    <n v="0"/>
    <n v="12"/>
    <n v="139"/>
    <n v="79"/>
    <x v="16"/>
    <x v="1"/>
    <x v="16"/>
    <x v="2"/>
  </r>
  <r>
    <n v="403"/>
    <n v="1"/>
    <d v="2023-03-12T00:00:00"/>
    <s v="Y092"/>
    <n v="1"/>
    <n v="33"/>
    <n v="157"/>
    <n v="241"/>
    <x v="10"/>
    <x v="2"/>
    <x v="10"/>
    <x v="0"/>
  </r>
  <r>
    <n v="404"/>
    <n v="2"/>
    <d v="2023-03-13T00:00:00"/>
    <s v="T244"/>
    <n v="0"/>
    <n v="19"/>
    <n v="141"/>
    <n v="92"/>
    <x v="0"/>
    <x v="0"/>
    <x v="0"/>
    <x v="2"/>
  </r>
  <r>
    <n v="405"/>
    <n v="2"/>
    <d v="2023-03-14T00:00:00"/>
    <s v="T367"/>
    <n v="0"/>
    <n v="13"/>
    <n v="153"/>
    <n v="133"/>
    <x v="19"/>
    <x v="2"/>
    <x v="19"/>
    <x v="2"/>
  </r>
  <r>
    <n v="406"/>
    <n v="2"/>
    <d v="2023-03-15T00:00:00"/>
    <s v="U092"/>
    <n v="0"/>
    <n v="12"/>
    <n v="94"/>
    <n v="102"/>
    <x v="14"/>
    <x v="0"/>
    <x v="14"/>
    <x v="2"/>
  </r>
  <r>
    <n v="407"/>
    <n v="2"/>
    <d v="2023-03-16T00:00:00"/>
    <s v="Y674"/>
    <n v="1"/>
    <n v="14"/>
    <n v="162"/>
    <n v="73"/>
    <x v="20"/>
    <x v="1"/>
    <x v="20"/>
    <x v="2"/>
  </r>
  <r>
    <n v="408"/>
    <n v="3"/>
    <d v="2023-03-17T00:00:00"/>
    <s v="U092"/>
    <n v="0"/>
    <n v="22"/>
    <n v="146"/>
    <n v="150"/>
    <x v="14"/>
    <x v="0"/>
    <x v="14"/>
    <x v="1"/>
  </r>
  <r>
    <n v="409"/>
    <n v="1"/>
    <d v="2023-03-18T00:00:00"/>
    <s v="Y092"/>
    <n v="1"/>
    <n v="35"/>
    <n v="154"/>
    <n v="190"/>
    <x v="10"/>
    <x v="2"/>
    <x v="10"/>
    <x v="0"/>
  </r>
  <r>
    <n v="410"/>
    <n v="1"/>
    <d v="2023-03-19T00:00:00"/>
    <s v="T857"/>
    <n v="0"/>
    <n v="36"/>
    <n v="147"/>
    <n v="275"/>
    <x v="3"/>
    <x v="2"/>
    <x v="3"/>
    <x v="0"/>
  </r>
  <r>
    <n v="411"/>
    <n v="3"/>
    <d v="2023-03-20T00:00:00"/>
    <s v="T244"/>
    <n v="1"/>
    <n v="47"/>
    <n v="156"/>
    <n v="142"/>
    <x v="0"/>
    <x v="0"/>
    <x v="0"/>
    <x v="1"/>
  </r>
  <r>
    <n v="412"/>
    <n v="1"/>
    <d v="2023-03-21T00:00:00"/>
    <s v="T095"/>
    <n v="1"/>
    <n v="29"/>
    <n v="152"/>
    <n v="131"/>
    <x v="8"/>
    <x v="2"/>
    <x v="8"/>
    <x v="0"/>
  </r>
  <r>
    <n v="413"/>
    <n v="1"/>
    <d v="2023-03-22T00:00:00"/>
    <s v="T244"/>
    <n v="1"/>
    <n v="46"/>
    <n v="159"/>
    <n v="265"/>
    <x v="0"/>
    <x v="0"/>
    <x v="0"/>
    <x v="0"/>
  </r>
  <r>
    <n v="414"/>
    <n v="3"/>
    <d v="2023-03-23T00:00:00"/>
    <s v="T980"/>
    <n v="0"/>
    <n v="37"/>
    <n v="158"/>
    <n v="231"/>
    <x v="12"/>
    <x v="1"/>
    <x v="12"/>
    <x v="1"/>
  </r>
  <r>
    <n v="415"/>
    <n v="1"/>
    <d v="2023-03-24T00:00:00"/>
    <s v="T562"/>
    <n v="1"/>
    <n v="28"/>
    <n v="127"/>
    <n v="170"/>
    <x v="22"/>
    <x v="1"/>
    <x v="22"/>
    <x v="0"/>
  </r>
  <r>
    <n v="416"/>
    <n v="1"/>
    <d v="2023-03-25T00:00:00"/>
    <s v="U546"/>
    <n v="0"/>
    <n v="22"/>
    <n v="148"/>
    <n v="251"/>
    <x v="17"/>
    <x v="2"/>
    <x v="17"/>
    <x v="0"/>
  </r>
  <r>
    <n v="417"/>
    <n v="1"/>
    <d v="2023-03-26T00:00:00"/>
    <s v="U789"/>
    <n v="0"/>
    <n v="31"/>
    <n v="150"/>
    <n v="304"/>
    <x v="9"/>
    <x v="0"/>
    <x v="9"/>
    <x v="0"/>
  </r>
  <r>
    <n v="418"/>
    <n v="1"/>
    <d v="2023-03-27T00:00:00"/>
    <s v="Y341"/>
    <n v="1"/>
    <n v="60"/>
    <n v="167"/>
    <n v="286"/>
    <x v="24"/>
    <x v="2"/>
    <x v="24"/>
    <x v="0"/>
  </r>
  <r>
    <n v="419"/>
    <n v="1"/>
    <d v="2023-03-28T00:00:00"/>
    <s v="U533"/>
    <n v="0"/>
    <n v="33"/>
    <n v="162"/>
    <n v="278"/>
    <x v="21"/>
    <x v="0"/>
    <x v="21"/>
    <x v="0"/>
  </r>
  <r>
    <n v="420"/>
    <n v="3"/>
    <d v="2023-03-29T00:00:00"/>
    <s v="U533"/>
    <n v="1"/>
    <n v="32"/>
    <n v="160"/>
    <n v="140"/>
    <x v="21"/>
    <x v="0"/>
    <x v="21"/>
    <x v="1"/>
  </r>
  <r>
    <n v="421"/>
    <n v="1"/>
    <d v="2023-03-30T00:00:00"/>
    <s v="U092"/>
    <n v="0"/>
    <n v="27"/>
    <n v="163"/>
    <n v="163"/>
    <x v="14"/>
    <x v="0"/>
    <x v="14"/>
    <x v="0"/>
  </r>
  <r>
    <n v="422"/>
    <n v="1"/>
    <d v="2023-03-31T00:00:00"/>
    <s v="Y784"/>
    <n v="1"/>
    <n v="28"/>
    <n v="160"/>
    <n v="111"/>
    <x v="13"/>
    <x v="1"/>
    <x v="13"/>
    <x v="0"/>
  </r>
  <r>
    <n v="423"/>
    <n v="3"/>
    <d v="2023-04-01T00:00:00"/>
    <s v="T367"/>
    <n v="1"/>
    <n v="29"/>
    <n v="154"/>
    <n v="716"/>
    <x v="19"/>
    <x v="2"/>
    <x v="19"/>
    <x v="1"/>
  </r>
  <r>
    <n v="424"/>
    <n v="1"/>
    <d v="2023-04-02T00:00:00"/>
    <s v="U546"/>
    <n v="0"/>
    <n v="35"/>
    <n v="169"/>
    <n v="330"/>
    <x v="17"/>
    <x v="2"/>
    <x v="17"/>
    <x v="0"/>
  </r>
  <r>
    <n v="425"/>
    <n v="1"/>
    <d v="2023-04-03T00:00:00"/>
    <s v="Y847"/>
    <n v="0"/>
    <n v="26"/>
    <n v="191"/>
    <n v="209"/>
    <x v="4"/>
    <x v="0"/>
    <x v="4"/>
    <x v="0"/>
  </r>
  <r>
    <n v="426"/>
    <n v="3"/>
    <d v="2023-04-04T00:00:00"/>
    <s v="Y341"/>
    <n v="1"/>
    <n v="38"/>
    <n v="154"/>
    <n v="275"/>
    <x v="24"/>
    <x v="2"/>
    <x v="24"/>
    <x v="1"/>
  </r>
  <r>
    <n v="427"/>
    <n v="3"/>
    <d v="2023-04-05T00:00:00"/>
    <s v="Y784"/>
    <n v="0"/>
    <n v="30"/>
    <n v="173"/>
    <n v="268"/>
    <x v="13"/>
    <x v="1"/>
    <x v="13"/>
    <x v="1"/>
  </r>
  <r>
    <n v="428"/>
    <n v="3"/>
    <d v="2023-04-06T00:00:00"/>
    <s v="Y674"/>
    <n v="0"/>
    <n v="33"/>
    <n v="160"/>
    <n v="272"/>
    <x v="20"/>
    <x v="1"/>
    <x v="20"/>
    <x v="1"/>
  </r>
  <r>
    <n v="429"/>
    <n v="3"/>
    <d v="2023-04-07T00:00:00"/>
    <s v="Y092"/>
    <n v="0"/>
    <n v="36"/>
    <n v="152"/>
    <n v="281"/>
    <x v="10"/>
    <x v="2"/>
    <x v="10"/>
    <x v="1"/>
  </r>
  <r>
    <n v="430"/>
    <n v="3"/>
    <d v="2023-04-08T00:00:00"/>
    <s v="U834"/>
    <n v="0"/>
    <n v="34"/>
    <n v="137"/>
    <n v="250"/>
    <x v="2"/>
    <x v="1"/>
    <x v="2"/>
    <x v="1"/>
  </r>
  <r>
    <n v="431"/>
    <n v="3"/>
    <d v="2023-04-09T00:00:00"/>
    <s v="Y847"/>
    <n v="1"/>
    <n v="26"/>
    <n v="153"/>
    <n v="98"/>
    <x v="4"/>
    <x v="0"/>
    <x v="4"/>
    <x v="1"/>
  </r>
  <r>
    <n v="432"/>
    <n v="1"/>
    <d v="2023-04-10T00:00:00"/>
    <s v="Y092"/>
    <n v="0"/>
    <n v="42"/>
    <n v="144"/>
    <n v="176"/>
    <x v="10"/>
    <x v="2"/>
    <x v="10"/>
    <x v="0"/>
  </r>
  <r>
    <n v="433"/>
    <n v="2"/>
    <d v="2023-04-11T00:00:00"/>
    <s v="T367"/>
    <n v="0"/>
    <n v="42"/>
    <n v="159"/>
    <n v="196"/>
    <x v="19"/>
    <x v="2"/>
    <x v="19"/>
    <x v="2"/>
  </r>
  <r>
    <n v="434"/>
    <n v="2"/>
    <d v="2023-04-12T00:00:00"/>
    <s v="U466"/>
    <n v="1"/>
    <n v="29"/>
    <n v="151"/>
    <n v="221"/>
    <x v="23"/>
    <x v="2"/>
    <x v="23"/>
    <x v="2"/>
  </r>
  <r>
    <n v="435"/>
    <n v="2"/>
    <d v="2023-04-13T00:00:00"/>
    <s v="Y674"/>
    <n v="0"/>
    <n v="26"/>
    <n v="148"/>
    <n v="209"/>
    <x v="20"/>
    <x v="1"/>
    <x v="20"/>
    <x v="2"/>
  </r>
  <r>
    <n v="436"/>
    <n v="2"/>
    <d v="2023-04-14T00:00:00"/>
    <s v="Y092"/>
    <n v="0"/>
    <n v="26"/>
    <n v="149"/>
    <n v="208"/>
    <x v="10"/>
    <x v="2"/>
    <x v="10"/>
    <x v="2"/>
  </r>
  <r>
    <n v="437"/>
    <n v="1"/>
    <d v="2023-04-15T00:00:00"/>
    <s v="T609"/>
    <n v="1"/>
    <n v="39"/>
    <n v="153"/>
    <n v="188"/>
    <x v="7"/>
    <x v="1"/>
    <x v="7"/>
    <x v="0"/>
  </r>
  <r>
    <n v="438"/>
    <n v="3"/>
    <d v="2023-04-16T00:00:00"/>
    <s v="T980"/>
    <n v="1"/>
    <n v="38"/>
    <n v="158"/>
    <n v="258"/>
    <x v="12"/>
    <x v="1"/>
    <x v="12"/>
    <x v="1"/>
  </r>
  <r>
    <n v="439"/>
    <n v="1"/>
    <d v="2023-04-17T00:00:00"/>
    <s v="U109"/>
    <n v="1"/>
    <n v="34"/>
    <n v="125"/>
    <n v="269"/>
    <x v="6"/>
    <x v="1"/>
    <x v="6"/>
    <x v="0"/>
  </r>
  <r>
    <n v="440"/>
    <n v="1"/>
    <d v="2023-04-18T00:00:00"/>
    <s v="T980"/>
    <n v="0"/>
    <n v="36"/>
    <n v="135"/>
    <n v="246"/>
    <x v="12"/>
    <x v="1"/>
    <x v="12"/>
    <x v="0"/>
  </r>
  <r>
    <n v="441"/>
    <n v="2"/>
    <d v="2023-04-19T00:00:00"/>
    <s v="T562"/>
    <n v="0"/>
    <n v="32"/>
    <n v="143"/>
    <n v="220"/>
    <x v="22"/>
    <x v="1"/>
    <x v="22"/>
    <x v="2"/>
  </r>
  <r>
    <n v="442"/>
    <n v="1"/>
    <d v="2023-04-20T00:00:00"/>
    <s v="Y857"/>
    <n v="1"/>
    <n v="29"/>
    <n v="151"/>
    <n v="455"/>
    <x v="1"/>
    <x v="0"/>
    <x v="1"/>
    <x v="0"/>
  </r>
  <r>
    <n v="443"/>
    <n v="3"/>
    <d v="2023-04-21T00:00:00"/>
    <s v="Y099"/>
    <n v="0"/>
    <n v="38"/>
    <n v="196"/>
    <n v="599"/>
    <x v="18"/>
    <x v="1"/>
    <x v="18"/>
    <x v="1"/>
  </r>
  <r>
    <n v="444"/>
    <n v="2"/>
    <d v="2023-04-22T00:00:00"/>
    <s v="Y674"/>
    <n v="0"/>
    <n v="13"/>
    <n v="175"/>
    <n v="113"/>
    <x v="20"/>
    <x v="1"/>
    <x v="20"/>
    <x v="2"/>
  </r>
  <r>
    <n v="445"/>
    <n v="1"/>
    <d v="2023-04-23T00:00:00"/>
    <s v="U533"/>
    <n v="1"/>
    <n v="12"/>
    <n v="167"/>
    <n v="57"/>
    <x v="21"/>
    <x v="0"/>
    <x v="21"/>
    <x v="0"/>
  </r>
  <r>
    <n v="446"/>
    <n v="2"/>
    <d v="2023-04-24T00:00:00"/>
    <s v="Y784"/>
    <n v="1"/>
    <n v="13"/>
    <n v="144"/>
    <n v="55"/>
    <x v="13"/>
    <x v="1"/>
    <x v="13"/>
    <x v="2"/>
  </r>
  <r>
    <n v="447"/>
    <n v="3"/>
    <d v="2023-04-25T00:00:00"/>
    <s v="T857"/>
    <n v="0"/>
    <n v="10"/>
    <n v="150"/>
    <n v="86"/>
    <x v="3"/>
    <x v="2"/>
    <x v="3"/>
    <x v="1"/>
  </r>
  <r>
    <n v="448"/>
    <n v="2"/>
    <d v="2023-04-26T00:00:00"/>
    <s v="T562"/>
    <n v="1"/>
    <n v="8"/>
    <n v="143"/>
    <n v="52"/>
    <x v="22"/>
    <x v="1"/>
    <x v="22"/>
    <x v="2"/>
  </r>
  <r>
    <n v="449"/>
    <n v="1"/>
    <d v="2023-04-27T00:00:00"/>
    <s v="Y674"/>
    <n v="1"/>
    <n v="17"/>
    <n v="132"/>
    <n v="86"/>
    <x v="20"/>
    <x v="1"/>
    <x v="20"/>
    <x v="0"/>
  </r>
  <r>
    <n v="450"/>
    <n v="2"/>
    <d v="2023-04-28T00:00:00"/>
    <s v="U466"/>
    <n v="0"/>
    <n v="22"/>
    <n v="126"/>
    <n v="520"/>
    <x v="23"/>
    <x v="2"/>
    <x v="23"/>
    <x v="2"/>
  </r>
  <r>
    <n v="451"/>
    <n v="2"/>
    <d v="2023-04-29T00:00:00"/>
    <s v="U466"/>
    <n v="0"/>
    <n v="21"/>
    <n v="146"/>
    <n v="160"/>
    <x v="23"/>
    <x v="2"/>
    <x v="23"/>
    <x v="2"/>
  </r>
  <r>
    <n v="452"/>
    <n v="1"/>
    <d v="2023-04-30T00:00:00"/>
    <s v="U789"/>
    <n v="1"/>
    <n v="30"/>
    <n v="147"/>
    <n v="349"/>
    <x v="9"/>
    <x v="0"/>
    <x v="9"/>
    <x v="0"/>
  </r>
  <r>
    <n v="453"/>
    <n v="3"/>
    <d v="2023-05-01T00:00:00"/>
    <s v="U834"/>
    <n v="1"/>
    <n v="11"/>
    <n v="160"/>
    <n v="55"/>
    <x v="2"/>
    <x v="1"/>
    <x v="2"/>
    <x v="1"/>
  </r>
  <r>
    <n v="454"/>
    <n v="1"/>
    <d v="2023-05-02T00:00:00"/>
    <s v="T367"/>
    <n v="0"/>
    <n v="24"/>
    <n v="151"/>
    <n v="187"/>
    <x v="19"/>
    <x v="2"/>
    <x v="19"/>
    <x v="0"/>
  </r>
  <r>
    <n v="455"/>
    <n v="3"/>
    <d v="2023-05-03T00:00:00"/>
    <s v="U486"/>
    <n v="1"/>
    <n v="26"/>
    <n v="157"/>
    <n v="220"/>
    <x v="16"/>
    <x v="1"/>
    <x v="16"/>
    <x v="1"/>
  </r>
  <r>
    <n v="456"/>
    <n v="3"/>
    <d v="2023-05-04T00:00:00"/>
    <s v="Y857"/>
    <n v="1"/>
    <n v="11"/>
    <n v="133"/>
    <n v="82"/>
    <x v="1"/>
    <x v="0"/>
    <x v="1"/>
    <x v="1"/>
  </r>
  <r>
    <n v="457"/>
    <n v="2"/>
    <d v="2023-05-05T00:00:00"/>
    <s v="T367"/>
    <n v="0"/>
    <n v="18"/>
    <n v="147"/>
    <n v="165"/>
    <x v="19"/>
    <x v="2"/>
    <x v="19"/>
    <x v="2"/>
  </r>
  <r>
    <n v="458"/>
    <n v="2"/>
    <d v="2023-05-06T00:00:00"/>
    <s v="Y784"/>
    <n v="1"/>
    <n v="22"/>
    <n v="167"/>
    <n v="195"/>
    <x v="13"/>
    <x v="1"/>
    <x v="13"/>
    <x v="2"/>
  </r>
  <r>
    <n v="459"/>
    <n v="3"/>
    <d v="2023-05-07T00:00:00"/>
    <s v="U092"/>
    <n v="1"/>
    <n v="23"/>
    <n v="151"/>
    <n v="288"/>
    <x v="14"/>
    <x v="0"/>
    <x v="14"/>
    <x v="1"/>
  </r>
  <r>
    <n v="460"/>
    <n v="2"/>
    <d v="2023-05-08T00:00:00"/>
    <s v="U466"/>
    <n v="0"/>
    <n v="14"/>
    <n v="145"/>
    <n v="89"/>
    <x v="23"/>
    <x v="2"/>
    <x v="23"/>
    <x v="2"/>
  </r>
  <r>
    <n v="461"/>
    <n v="3"/>
    <d v="2023-05-09T00:00:00"/>
    <s v="Y784"/>
    <n v="0"/>
    <n v="26"/>
    <n v="156"/>
    <n v="330"/>
    <x v="13"/>
    <x v="1"/>
    <x v="13"/>
    <x v="1"/>
  </r>
  <r>
    <n v="462"/>
    <n v="2"/>
    <d v="2023-05-10T00:00:00"/>
    <s v="T980"/>
    <n v="0"/>
    <n v="25"/>
    <n v="150"/>
    <n v="178"/>
    <x v="12"/>
    <x v="1"/>
    <x v="12"/>
    <x v="2"/>
  </r>
  <r>
    <n v="463"/>
    <n v="1"/>
    <d v="2023-05-11T00:00:00"/>
    <s v="T367"/>
    <n v="0"/>
    <n v="18"/>
    <n v="160"/>
    <n v="183"/>
    <x v="19"/>
    <x v="2"/>
    <x v="19"/>
    <x v="0"/>
  </r>
  <r>
    <n v="464"/>
    <n v="2"/>
    <d v="2023-05-12T00:00:00"/>
    <s v="U486"/>
    <n v="1"/>
    <n v="26"/>
    <n v="147"/>
    <n v="112"/>
    <x v="16"/>
    <x v="1"/>
    <x v="16"/>
    <x v="2"/>
  </r>
  <r>
    <n v="465"/>
    <n v="2"/>
    <d v="2023-05-13T00:00:00"/>
    <s v="Y674"/>
    <n v="1"/>
    <n v="22"/>
    <n v="149"/>
    <n v="220"/>
    <x v="20"/>
    <x v="1"/>
    <x v="20"/>
    <x v="2"/>
  </r>
  <r>
    <n v="466"/>
    <n v="1"/>
    <d v="2023-05-14T00:00:00"/>
    <s v="T244"/>
    <n v="1"/>
    <n v="20"/>
    <n v="156"/>
    <n v="173"/>
    <x v="0"/>
    <x v="0"/>
    <x v="0"/>
    <x v="0"/>
  </r>
  <r>
    <n v="467"/>
    <n v="2"/>
    <d v="2023-05-15T00:00:00"/>
    <s v="Y092"/>
    <n v="0"/>
    <n v="18"/>
    <n v="187"/>
    <n v="96"/>
    <x v="10"/>
    <x v="2"/>
    <x v="10"/>
    <x v="2"/>
  </r>
  <r>
    <n v="468"/>
    <n v="3"/>
    <d v="2023-05-16T00:00:00"/>
    <s v="T857"/>
    <n v="1"/>
    <n v="18"/>
    <n v="159"/>
    <n v="163"/>
    <x v="3"/>
    <x v="2"/>
    <x v="3"/>
    <x v="1"/>
  </r>
  <r>
    <n v="469"/>
    <n v="3"/>
    <d v="2023-05-17T00:00:00"/>
    <s v="Y784"/>
    <n v="1"/>
    <n v="21"/>
    <n v="157"/>
    <n v="165"/>
    <x v="13"/>
    <x v="1"/>
    <x v="13"/>
    <x v="1"/>
  </r>
  <r>
    <n v="470"/>
    <n v="1"/>
    <d v="2023-05-18T00:00:00"/>
    <s v="U109"/>
    <n v="0"/>
    <n v="31"/>
    <n v="150"/>
    <n v="220"/>
    <x v="6"/>
    <x v="1"/>
    <x v="6"/>
    <x v="0"/>
  </r>
  <r>
    <n v="471"/>
    <n v="2"/>
    <d v="2023-05-19T00:00:00"/>
    <s v="U466"/>
    <n v="1"/>
    <n v="22"/>
    <n v="145"/>
    <n v="148"/>
    <x v="23"/>
    <x v="2"/>
    <x v="23"/>
    <x v="2"/>
  </r>
  <r>
    <n v="472"/>
    <n v="1"/>
    <d v="2023-05-20T00:00:00"/>
    <s v="Y847"/>
    <n v="0"/>
    <n v="8"/>
    <n v="147"/>
    <n v="96"/>
    <x v="4"/>
    <x v="0"/>
    <x v="4"/>
    <x v="0"/>
  </r>
  <r>
    <n v="473"/>
    <n v="2"/>
    <d v="2023-05-21T00:00:00"/>
    <s v="T609"/>
    <n v="1"/>
    <n v="24"/>
    <n v="158"/>
    <n v="268"/>
    <x v="7"/>
    <x v="1"/>
    <x v="7"/>
    <x v="2"/>
  </r>
  <r>
    <n v="474"/>
    <n v="3"/>
    <d v="2023-05-22T00:00:00"/>
    <s v="T095"/>
    <n v="1"/>
    <n v="32"/>
    <n v="151"/>
    <n v="85"/>
    <x v="8"/>
    <x v="2"/>
    <x v="8"/>
    <x v="1"/>
  </r>
  <r>
    <n v="475"/>
    <n v="3"/>
    <d v="2023-05-23T00:00:00"/>
    <s v="T367"/>
    <n v="1"/>
    <n v="37"/>
    <n v="164"/>
    <n v="165"/>
    <x v="19"/>
    <x v="2"/>
    <x v="19"/>
    <x v="1"/>
  </r>
  <r>
    <n v="476"/>
    <n v="1"/>
    <d v="2023-05-24T00:00:00"/>
    <s v="Y099"/>
    <n v="0"/>
    <n v="24"/>
    <n v="132"/>
    <n v="136"/>
    <x v="18"/>
    <x v="1"/>
    <x v="18"/>
    <x v="0"/>
  </r>
  <r>
    <n v="477"/>
    <n v="1"/>
    <d v="2023-05-25T00:00:00"/>
    <s v="Y983"/>
    <n v="1"/>
    <n v="38"/>
    <n v="152"/>
    <n v="321"/>
    <x v="5"/>
    <x v="2"/>
    <x v="5"/>
    <x v="0"/>
  </r>
  <r>
    <n v="478"/>
    <n v="2"/>
    <d v="2023-05-26T00:00:00"/>
    <s v="U345"/>
    <n v="1"/>
    <n v="32"/>
    <n v="154"/>
    <n v="188"/>
    <x v="11"/>
    <x v="0"/>
    <x v="11"/>
    <x v="2"/>
  </r>
  <r>
    <n v="479"/>
    <n v="2"/>
    <d v="2023-05-27T00:00:00"/>
    <s v="U834"/>
    <n v="1"/>
    <n v="22"/>
    <n v="158"/>
    <n v="147"/>
    <x v="2"/>
    <x v="1"/>
    <x v="2"/>
    <x v="2"/>
  </r>
  <r>
    <n v="480"/>
    <n v="2"/>
    <d v="2023-05-28T00:00:00"/>
    <s v="U092"/>
    <n v="0"/>
    <n v="39"/>
    <n v="170"/>
    <n v="496"/>
    <x v="14"/>
    <x v="0"/>
    <x v="14"/>
    <x v="2"/>
  </r>
  <r>
    <n v="481"/>
    <n v="2"/>
    <d v="2023-05-29T00:00:00"/>
    <s v="T999"/>
    <n v="0"/>
    <n v="35"/>
    <n v="175"/>
    <n v="142"/>
    <x v="15"/>
    <x v="0"/>
    <x v="15"/>
    <x v="2"/>
  </r>
  <r>
    <n v="482"/>
    <n v="2"/>
    <d v="2023-05-30T00:00:00"/>
    <s v="T367"/>
    <n v="1"/>
    <n v="16"/>
    <n v="163"/>
    <n v="231"/>
    <x v="19"/>
    <x v="2"/>
    <x v="19"/>
    <x v="2"/>
  </r>
  <r>
    <n v="483"/>
    <n v="2"/>
    <d v="2023-05-31T00:00:00"/>
    <s v="U546"/>
    <n v="0"/>
    <n v="21"/>
    <n v="151"/>
    <n v="238"/>
    <x v="17"/>
    <x v="2"/>
    <x v="17"/>
    <x v="2"/>
  </r>
  <r>
    <n v="484"/>
    <n v="3"/>
    <d v="2023-06-01T00:00:00"/>
    <s v="U533"/>
    <n v="0"/>
    <n v="24"/>
    <n v="142"/>
    <n v="128"/>
    <x v="21"/>
    <x v="0"/>
    <x v="21"/>
    <x v="1"/>
  </r>
  <r>
    <n v="485"/>
    <n v="3"/>
    <d v="2023-06-02T00:00:00"/>
    <s v="Y847"/>
    <n v="0"/>
    <n v="26"/>
    <n v="151"/>
    <n v="230"/>
    <x v="4"/>
    <x v="0"/>
    <x v="4"/>
    <x v="1"/>
  </r>
  <r>
    <n v="486"/>
    <n v="1"/>
    <d v="2023-06-03T00:00:00"/>
    <s v="T367"/>
    <n v="0"/>
    <n v="23"/>
    <n v="155"/>
    <n v="165"/>
    <x v="19"/>
    <x v="2"/>
    <x v="19"/>
    <x v="0"/>
  </r>
  <r>
    <n v="487"/>
    <n v="1"/>
    <d v="2023-06-04T00:00:00"/>
    <s v="Y341"/>
    <n v="1"/>
    <n v="38"/>
    <n v="162"/>
    <n v="436"/>
    <x v="24"/>
    <x v="2"/>
    <x v="24"/>
    <x v="0"/>
  </r>
  <r>
    <n v="488"/>
    <n v="3"/>
    <d v="2023-06-05T00:00:00"/>
    <s v="U533"/>
    <n v="0"/>
    <n v="26"/>
    <n v="203"/>
    <n v="136"/>
    <x v="21"/>
    <x v="0"/>
    <x v="21"/>
    <x v="1"/>
  </r>
  <r>
    <n v="489"/>
    <n v="2"/>
    <d v="2023-06-06T00:00:00"/>
    <s v="U109"/>
    <n v="0"/>
    <n v="18"/>
    <n v="154"/>
    <n v="381"/>
    <x v="6"/>
    <x v="1"/>
    <x v="6"/>
    <x v="2"/>
  </r>
  <r>
    <n v="490"/>
    <n v="2"/>
    <d v="2023-06-07T00:00:00"/>
    <s v="U546"/>
    <n v="1"/>
    <n v="22"/>
    <n v="165"/>
    <n v="165"/>
    <x v="17"/>
    <x v="2"/>
    <x v="17"/>
    <x v="2"/>
  </r>
  <r>
    <n v="491"/>
    <n v="2"/>
    <d v="2023-06-08T00:00:00"/>
    <s v="T999"/>
    <n v="0"/>
    <n v="31"/>
    <n v="148"/>
    <n v="276"/>
    <x v="15"/>
    <x v="0"/>
    <x v="15"/>
    <x v="2"/>
  </r>
  <r>
    <n v="492"/>
    <n v="2"/>
    <d v="2023-06-09T00:00:00"/>
    <s v="U533"/>
    <n v="0"/>
    <n v="26"/>
    <n v="145"/>
    <n v="126"/>
    <x v="21"/>
    <x v="0"/>
    <x v="21"/>
    <x v="2"/>
  </r>
  <r>
    <n v="493"/>
    <n v="3"/>
    <d v="2023-06-10T00:00:00"/>
    <s v="Y983"/>
    <n v="1"/>
    <n v="43"/>
    <n v="157"/>
    <n v="247"/>
    <x v="5"/>
    <x v="2"/>
    <x v="5"/>
    <x v="1"/>
  </r>
  <r>
    <n v="494"/>
    <n v="2"/>
    <d v="2023-06-11T00:00:00"/>
    <s v="T857"/>
    <n v="0"/>
    <n v="50"/>
    <n v="158"/>
    <n v="312"/>
    <x v="3"/>
    <x v="2"/>
    <x v="3"/>
    <x v="2"/>
  </r>
  <r>
    <n v="495"/>
    <n v="3"/>
    <d v="2023-06-12T00:00:00"/>
    <s v="U109"/>
    <n v="0"/>
    <n v="32"/>
    <n v="134"/>
    <n v="286"/>
    <x v="6"/>
    <x v="1"/>
    <x v="6"/>
    <x v="1"/>
  </r>
  <r>
    <n v="496"/>
    <n v="2"/>
    <d v="2023-06-13T00:00:00"/>
    <s v="T244"/>
    <n v="0"/>
    <n v="36"/>
    <n v="164"/>
    <n v="232"/>
    <x v="0"/>
    <x v="0"/>
    <x v="0"/>
    <x v="2"/>
  </r>
  <r>
    <n v="497"/>
    <n v="3"/>
    <d v="2023-06-14T00:00:00"/>
    <s v="U109"/>
    <n v="0"/>
    <n v="42"/>
    <n v="148"/>
    <n v="900"/>
    <x v="6"/>
    <x v="1"/>
    <x v="6"/>
    <x v="1"/>
  </r>
  <r>
    <n v="498"/>
    <n v="3"/>
    <d v="2023-06-15T00:00:00"/>
    <s v="U533"/>
    <n v="1"/>
    <n v="31"/>
    <n v="158"/>
    <n v="173"/>
    <x v="21"/>
    <x v="0"/>
    <x v="21"/>
    <x v="1"/>
  </r>
  <r>
    <n v="499"/>
    <n v="3"/>
    <d v="2023-06-16T00:00:00"/>
    <s v="T095"/>
    <n v="0"/>
    <n v="26"/>
    <n v="147"/>
    <n v="157"/>
    <x v="8"/>
    <x v="2"/>
    <x v="8"/>
    <x v="1"/>
  </r>
  <r>
    <n v="500"/>
    <n v="2"/>
    <d v="2023-06-17T00:00:00"/>
    <s v="T095"/>
    <n v="0"/>
    <n v="24"/>
    <n v="146"/>
    <n v="142"/>
    <x v="8"/>
    <x v="2"/>
    <x v="8"/>
    <x v="2"/>
  </r>
  <r>
    <n v="501"/>
    <n v="1"/>
    <d v="2023-06-18T00:00:00"/>
    <s v="Y092"/>
    <n v="1"/>
    <n v="31"/>
    <n v="158"/>
    <n v="276"/>
    <x v="10"/>
    <x v="2"/>
    <x v="10"/>
    <x v="0"/>
  </r>
  <r>
    <n v="502"/>
    <n v="2"/>
    <d v="2023-06-19T00:00:00"/>
    <s v="U092"/>
    <n v="1"/>
    <n v="48"/>
    <n v="174"/>
    <n v="284"/>
    <x v="14"/>
    <x v="0"/>
    <x v="14"/>
    <x v="2"/>
  </r>
  <r>
    <n v="503"/>
    <n v="3"/>
    <d v="2023-06-20T00:00:00"/>
    <s v="U533"/>
    <n v="1"/>
    <n v="35"/>
    <n v="179"/>
    <n v="162"/>
    <x v="21"/>
    <x v="0"/>
    <x v="21"/>
    <x v="1"/>
  </r>
  <r>
    <n v="504"/>
    <n v="3"/>
    <d v="2023-06-21T00:00:00"/>
    <s v="T367"/>
    <n v="0"/>
    <n v="27"/>
    <n v="143"/>
    <n v="305"/>
    <x v="19"/>
    <x v="2"/>
    <x v="19"/>
    <x v="1"/>
  </r>
  <r>
    <n v="505"/>
    <n v="2"/>
    <d v="2023-06-22T00:00:00"/>
    <s v="Y784"/>
    <n v="1"/>
    <n v="57"/>
    <n v="145"/>
    <n v="331"/>
    <x v="13"/>
    <x v="1"/>
    <x v="13"/>
    <x v="2"/>
  </r>
  <r>
    <n v="506"/>
    <n v="1"/>
    <d v="2023-06-23T00:00:00"/>
    <s v="Y983"/>
    <n v="1"/>
    <n v="44"/>
    <n v="161"/>
    <n v="360"/>
    <x v="5"/>
    <x v="2"/>
    <x v="5"/>
    <x v="0"/>
  </r>
  <r>
    <n v="507"/>
    <n v="2"/>
    <d v="2023-06-24T00:00:00"/>
    <s v="T999"/>
    <n v="0"/>
    <n v="18"/>
    <n v="162"/>
    <n v="143"/>
    <x v="15"/>
    <x v="0"/>
    <x v="15"/>
    <x v="2"/>
  </r>
  <r>
    <n v="508"/>
    <n v="1"/>
    <d v="2023-06-25T00:00:00"/>
    <s v="Y674"/>
    <n v="0"/>
    <n v="20"/>
    <n v="147"/>
    <n v="90"/>
    <x v="20"/>
    <x v="1"/>
    <x v="20"/>
    <x v="0"/>
  </r>
  <r>
    <n v="509"/>
    <n v="2"/>
    <d v="2023-06-26T00:00:00"/>
    <s v="Y674"/>
    <n v="1"/>
    <n v="23"/>
    <n v="120"/>
    <n v="113"/>
    <x v="20"/>
    <x v="1"/>
    <x v="20"/>
    <x v="2"/>
  </r>
  <r>
    <n v="510"/>
    <n v="1"/>
    <d v="2023-06-27T00:00:00"/>
    <s v="Y099"/>
    <n v="0"/>
    <n v="21"/>
    <n v="151"/>
    <n v="214"/>
    <x v="18"/>
    <x v="1"/>
    <x v="18"/>
    <x v="0"/>
  </r>
  <r>
    <n v="511"/>
    <n v="1"/>
    <d v="2023-06-28T00:00:00"/>
    <s v="Y674"/>
    <n v="1"/>
    <n v="17"/>
    <n v="149"/>
    <n v="141"/>
    <x v="20"/>
    <x v="1"/>
    <x v="20"/>
    <x v="0"/>
  </r>
  <r>
    <n v="512"/>
    <n v="1"/>
    <d v="2023-06-29T00:00:00"/>
    <s v="Y847"/>
    <n v="1"/>
    <n v="41"/>
    <n v="131"/>
    <n v="346"/>
    <x v="4"/>
    <x v="0"/>
    <x v="4"/>
    <x v="0"/>
  </r>
  <r>
    <n v="513"/>
    <n v="3"/>
    <d v="2023-06-30T00:00:00"/>
    <s v="T095"/>
    <n v="1"/>
    <n v="22"/>
    <n v="150"/>
    <n v="132"/>
    <x v="8"/>
    <x v="2"/>
    <x v="8"/>
    <x v="1"/>
  </r>
  <r>
    <n v="514"/>
    <n v="3"/>
    <d v="2023-07-01T00:00:00"/>
    <s v="Y983"/>
    <n v="1"/>
    <n v="30"/>
    <n v="147"/>
    <n v="275"/>
    <x v="5"/>
    <x v="2"/>
    <x v="5"/>
    <x v="1"/>
  </r>
  <r>
    <n v="515"/>
    <n v="2"/>
    <d v="2023-07-02T00:00:00"/>
    <s v="U834"/>
    <n v="1"/>
    <n v="44"/>
    <n v="166"/>
    <n v="275"/>
    <x v="2"/>
    <x v="1"/>
    <x v="2"/>
    <x v="2"/>
  </r>
  <r>
    <n v="516"/>
    <n v="1"/>
    <d v="2023-07-03T00:00:00"/>
    <s v="T980"/>
    <n v="1"/>
    <n v="39"/>
    <n v="176"/>
    <n v="174"/>
    <x v="12"/>
    <x v="1"/>
    <x v="12"/>
    <x v="0"/>
  </r>
  <r>
    <n v="517"/>
    <n v="2"/>
    <d v="2023-07-04T00:00:00"/>
    <s v="U345"/>
    <n v="1"/>
    <n v="26"/>
    <n v="169"/>
    <n v="166"/>
    <x v="11"/>
    <x v="0"/>
    <x v="11"/>
    <x v="2"/>
  </r>
  <r>
    <n v="518"/>
    <n v="2"/>
    <d v="2023-07-05T00:00:00"/>
    <s v="T999"/>
    <n v="0"/>
    <n v="23"/>
    <n v="151"/>
    <n v="181"/>
    <x v="15"/>
    <x v="0"/>
    <x v="15"/>
    <x v="2"/>
  </r>
  <r>
    <n v="519"/>
    <n v="3"/>
    <d v="2023-07-06T00:00:00"/>
    <s v="Y674"/>
    <n v="0"/>
    <n v="25"/>
    <n v="156"/>
    <n v="143"/>
    <x v="20"/>
    <x v="1"/>
    <x v="20"/>
    <x v="1"/>
  </r>
  <r>
    <n v="520"/>
    <n v="3"/>
    <d v="2023-07-07T00:00:00"/>
    <s v="Y099"/>
    <n v="1"/>
    <n v="37"/>
    <n v="106"/>
    <n v="243"/>
    <x v="18"/>
    <x v="1"/>
    <x v="18"/>
    <x v="1"/>
  </r>
  <r>
    <n v="521"/>
    <n v="1"/>
    <d v="2023-07-08T00:00:00"/>
    <s v="Y092"/>
    <n v="0"/>
    <n v="27"/>
    <n v="157"/>
    <n v="152"/>
    <x v="10"/>
    <x v="2"/>
    <x v="10"/>
    <x v="0"/>
  </r>
  <r>
    <n v="522"/>
    <n v="1"/>
    <d v="2023-07-09T00:00:00"/>
    <s v="U109"/>
    <n v="0"/>
    <n v="28"/>
    <n v="131"/>
    <n v="196"/>
    <x v="6"/>
    <x v="1"/>
    <x v="6"/>
    <x v="0"/>
  </r>
  <r>
    <n v="523"/>
    <n v="2"/>
    <d v="2023-07-10T00:00:00"/>
    <s v="Y847"/>
    <n v="1"/>
    <n v="42"/>
    <n v="167"/>
    <n v="220"/>
    <x v="4"/>
    <x v="0"/>
    <x v="4"/>
    <x v="2"/>
  </r>
  <r>
    <n v="524"/>
    <n v="3"/>
    <d v="2023-07-11T00:00:00"/>
    <s v="U789"/>
    <n v="0"/>
    <n v="34"/>
    <n v="159"/>
    <n v="201"/>
    <x v="9"/>
    <x v="0"/>
    <x v="9"/>
    <x v="1"/>
  </r>
  <r>
    <n v="525"/>
    <n v="1"/>
    <d v="2023-07-12T00:00:00"/>
    <s v="Y092"/>
    <n v="1"/>
    <n v="33"/>
    <n v="153"/>
    <n v="128"/>
    <x v="10"/>
    <x v="2"/>
    <x v="10"/>
    <x v="0"/>
  </r>
  <r>
    <n v="526"/>
    <n v="2"/>
    <d v="2023-07-13T00:00:00"/>
    <s v="Y099"/>
    <n v="0"/>
    <n v="47"/>
    <n v="164"/>
    <n v="330"/>
    <x v="18"/>
    <x v="1"/>
    <x v="18"/>
    <x v="2"/>
  </r>
  <r>
    <n v="527"/>
    <n v="2"/>
    <d v="2023-07-14T00:00:00"/>
    <s v="T857"/>
    <n v="1"/>
    <n v="44"/>
    <n v="165"/>
    <n v="318"/>
    <x v="3"/>
    <x v="2"/>
    <x v="3"/>
    <x v="2"/>
  </r>
  <r>
    <n v="528"/>
    <n v="3"/>
    <d v="2023-07-15T00:00:00"/>
    <s v="U789"/>
    <n v="1"/>
    <n v="36"/>
    <n v="155"/>
    <n v="275"/>
    <x v="9"/>
    <x v="0"/>
    <x v="9"/>
    <x v="1"/>
  </r>
  <r>
    <n v="529"/>
    <n v="2"/>
    <d v="2023-07-16T00:00:00"/>
    <s v="T562"/>
    <n v="1"/>
    <n v="40"/>
    <n v="164"/>
    <n v="207"/>
    <x v="22"/>
    <x v="1"/>
    <x v="22"/>
    <x v="2"/>
  </r>
  <r>
    <n v="530"/>
    <n v="2"/>
    <d v="2023-07-17T00:00:00"/>
    <s v="Y857"/>
    <n v="1"/>
    <n v="42"/>
    <n v="173"/>
    <n v="220"/>
    <x v="1"/>
    <x v="0"/>
    <x v="1"/>
    <x v="2"/>
  </r>
  <r>
    <n v="531"/>
    <n v="1"/>
    <d v="2023-07-18T00:00:00"/>
    <s v="Y341"/>
    <n v="0"/>
    <n v="34"/>
    <n v="155"/>
    <n v="163"/>
    <x v="24"/>
    <x v="2"/>
    <x v="24"/>
    <x v="0"/>
  </r>
  <r>
    <n v="532"/>
    <n v="2"/>
    <d v="2023-07-19T00:00:00"/>
    <s v="U533"/>
    <n v="0"/>
    <n v="30"/>
    <n v="156"/>
    <n v="279"/>
    <x v="21"/>
    <x v="0"/>
    <x v="21"/>
    <x v="2"/>
  </r>
  <r>
    <n v="533"/>
    <n v="2"/>
    <d v="2023-07-20T00:00:00"/>
    <s v="Y784"/>
    <n v="0"/>
    <n v="26"/>
    <n v="170"/>
    <n v="110"/>
    <x v="13"/>
    <x v="1"/>
    <x v="13"/>
    <x v="2"/>
  </r>
  <r>
    <n v="534"/>
    <n v="2"/>
    <d v="2023-07-21T00:00:00"/>
    <s v="U834"/>
    <n v="1"/>
    <n v="30"/>
    <n v="158"/>
    <n v="331"/>
    <x v="2"/>
    <x v="1"/>
    <x v="2"/>
    <x v="2"/>
  </r>
  <r>
    <n v="535"/>
    <n v="2"/>
    <d v="2023-07-22T00:00:00"/>
    <s v="Y983"/>
    <n v="0"/>
    <n v="38"/>
    <n v="173"/>
    <n v="275"/>
    <x v="5"/>
    <x v="2"/>
    <x v="5"/>
    <x v="2"/>
  </r>
  <r>
    <n v="536"/>
    <n v="2"/>
    <d v="2023-07-23T00:00:00"/>
    <s v="Y784"/>
    <n v="1"/>
    <n v="51"/>
    <n v="167"/>
    <n v="423"/>
    <x v="13"/>
    <x v="1"/>
    <x v="13"/>
    <x v="2"/>
  </r>
  <r>
    <n v="537"/>
    <n v="2"/>
    <d v="2023-07-24T00:00:00"/>
    <s v="Y983"/>
    <n v="1"/>
    <n v="48"/>
    <n v="156"/>
    <n v="275"/>
    <x v="5"/>
    <x v="2"/>
    <x v="5"/>
    <x v="2"/>
  </r>
  <r>
    <n v="538"/>
    <n v="1"/>
    <d v="2023-07-25T00:00:00"/>
    <s v="Y099"/>
    <n v="0"/>
    <n v="38"/>
    <n v="153"/>
    <n v="261"/>
    <x v="18"/>
    <x v="1"/>
    <x v="18"/>
    <x v="0"/>
  </r>
  <r>
    <n v="539"/>
    <n v="3"/>
    <d v="2023-07-26T00:00:00"/>
    <s v="Y857"/>
    <n v="0"/>
    <n v="34"/>
    <n v="156"/>
    <n v="330"/>
    <x v="1"/>
    <x v="0"/>
    <x v="1"/>
    <x v="1"/>
  </r>
  <r>
    <n v="540"/>
    <n v="1"/>
    <d v="2023-07-27T00:00:00"/>
    <s v="U533"/>
    <n v="1"/>
    <n v="32"/>
    <n v="148"/>
    <n v="440"/>
    <x v="21"/>
    <x v="0"/>
    <x v="21"/>
    <x v="0"/>
  </r>
  <r>
    <n v="541"/>
    <n v="3"/>
    <d v="2023-07-28T00:00:00"/>
    <s v="U466"/>
    <n v="1"/>
    <n v="32"/>
    <n v="163"/>
    <n v="177"/>
    <x v="23"/>
    <x v="2"/>
    <x v="23"/>
    <x v="1"/>
  </r>
  <r>
    <n v="542"/>
    <n v="3"/>
    <d v="2023-07-29T00:00:00"/>
    <s v="T244"/>
    <n v="0"/>
    <n v="27"/>
    <n v="177"/>
    <n v="319"/>
    <x v="0"/>
    <x v="0"/>
    <x v="0"/>
    <x v="1"/>
  </r>
  <r>
    <n v="543"/>
    <n v="1"/>
    <d v="2023-07-30T00:00:00"/>
    <s v="Y674"/>
    <n v="1"/>
    <n v="21"/>
    <n v="165"/>
    <n v="92"/>
    <x v="20"/>
    <x v="1"/>
    <x v="20"/>
    <x v="0"/>
  </r>
  <r>
    <n v="544"/>
    <n v="3"/>
    <d v="2023-07-31T00:00:00"/>
    <s v="Y341"/>
    <n v="0"/>
    <n v="22"/>
    <n v="163"/>
    <n v="455"/>
    <x v="24"/>
    <x v="2"/>
    <x v="24"/>
    <x v="1"/>
  </r>
  <r>
    <n v="545"/>
    <n v="2"/>
    <d v="2023-08-01T00:00:00"/>
    <s v="U789"/>
    <n v="1"/>
    <n v="32"/>
    <n v="178"/>
    <n v="182"/>
    <x v="9"/>
    <x v="0"/>
    <x v="9"/>
    <x v="2"/>
  </r>
  <r>
    <n v="546"/>
    <n v="2"/>
    <d v="2023-08-02T00:00:00"/>
    <s v="T244"/>
    <n v="0"/>
    <n v="26"/>
    <n v="172"/>
    <n v="110"/>
    <x v="0"/>
    <x v="0"/>
    <x v="0"/>
    <x v="2"/>
  </r>
  <r>
    <n v="547"/>
    <n v="3"/>
    <d v="2023-08-03T00:00:00"/>
    <s v="T980"/>
    <n v="0"/>
    <n v="18"/>
    <n v="127"/>
    <n v="120"/>
    <x v="12"/>
    <x v="1"/>
    <x v="12"/>
    <x v="1"/>
  </r>
  <r>
    <n v="548"/>
    <n v="3"/>
    <d v="2023-08-04T00:00:00"/>
    <s v="Y847"/>
    <n v="1"/>
    <n v="17"/>
    <n v="184"/>
    <n v="385"/>
    <x v="4"/>
    <x v="0"/>
    <x v="4"/>
    <x v="1"/>
  </r>
  <r>
    <n v="549"/>
    <n v="1"/>
    <d v="2023-08-05T00:00:00"/>
    <s v="T609"/>
    <n v="0"/>
    <n v="26"/>
    <n v="176"/>
    <n v="219"/>
    <x v="7"/>
    <x v="1"/>
    <x v="7"/>
    <x v="0"/>
  </r>
  <r>
    <n v="550"/>
    <n v="3"/>
    <d v="2023-08-06T00:00:00"/>
    <s v="U789"/>
    <n v="0"/>
    <n v="17"/>
    <n v="173"/>
    <n v="165"/>
    <x v="9"/>
    <x v="0"/>
    <x v="9"/>
    <x v="1"/>
  </r>
  <r>
    <n v="551"/>
    <n v="2"/>
    <d v="2023-08-07T00:00:00"/>
    <s v="U109"/>
    <n v="0"/>
    <n v="17"/>
    <n v="180"/>
    <n v="165"/>
    <x v="6"/>
    <x v="1"/>
    <x v="6"/>
    <x v="2"/>
  </r>
  <r>
    <n v="552"/>
    <n v="2"/>
    <d v="2023-08-08T00:00:00"/>
    <s v="Y674"/>
    <n v="0"/>
    <n v="20"/>
    <n v="157"/>
    <n v="120"/>
    <x v="20"/>
    <x v="1"/>
    <x v="20"/>
    <x v="2"/>
  </r>
  <r>
    <n v="553"/>
    <n v="1"/>
    <d v="2023-08-09T00:00:00"/>
    <s v="Y847"/>
    <n v="1"/>
    <n v="24"/>
    <n v="169"/>
    <n v="166"/>
    <x v="4"/>
    <x v="0"/>
    <x v="4"/>
    <x v="0"/>
  </r>
  <r>
    <n v="554"/>
    <n v="1"/>
    <d v="2023-08-10T00:00:00"/>
    <s v="U345"/>
    <n v="1"/>
    <n v="17"/>
    <n v="159"/>
    <n v="122"/>
    <x v="11"/>
    <x v="0"/>
    <x v="11"/>
    <x v="0"/>
  </r>
  <r>
    <n v="555"/>
    <n v="1"/>
    <d v="2023-08-11T00:00:00"/>
    <s v="Y983"/>
    <n v="0"/>
    <n v="16"/>
    <n v="161"/>
    <n v="385"/>
    <x v="5"/>
    <x v="2"/>
    <x v="5"/>
    <x v="0"/>
  </r>
  <r>
    <n v="556"/>
    <n v="3"/>
    <d v="2023-08-12T00:00:00"/>
    <s v="Y983"/>
    <n v="1"/>
    <n v="19"/>
    <n v="175"/>
    <n v="275"/>
    <x v="5"/>
    <x v="2"/>
    <x v="5"/>
    <x v="1"/>
  </r>
  <r>
    <n v="557"/>
    <n v="2"/>
    <d v="2023-08-13T00:00:00"/>
    <s v="U466"/>
    <n v="1"/>
    <n v="21"/>
    <n v="158"/>
    <n v="198"/>
    <x v="23"/>
    <x v="2"/>
    <x v="23"/>
    <x v="2"/>
  </r>
  <r>
    <n v="558"/>
    <n v="3"/>
    <d v="2023-08-14T00:00:00"/>
    <s v="T980"/>
    <n v="0"/>
    <n v="23"/>
    <n v="157"/>
    <n v="170"/>
    <x v="12"/>
    <x v="1"/>
    <x v="12"/>
    <x v="1"/>
  </r>
  <r>
    <n v="559"/>
    <n v="2"/>
    <d v="2023-08-15T00:00:00"/>
    <s v="T095"/>
    <n v="0"/>
    <n v="30"/>
    <n v="172"/>
    <n v="256"/>
    <x v="8"/>
    <x v="2"/>
    <x v="8"/>
    <x v="2"/>
  </r>
  <r>
    <n v="560"/>
    <n v="2"/>
    <d v="2023-08-16T00:00:00"/>
    <s v="U345"/>
    <n v="0"/>
    <n v="14"/>
    <n v="148"/>
    <n v="121"/>
    <x v="11"/>
    <x v="0"/>
    <x v="11"/>
    <x v="2"/>
  </r>
  <r>
    <n v="561"/>
    <n v="1"/>
    <d v="2023-08-17T00:00:00"/>
    <s v="T562"/>
    <n v="1"/>
    <n v="12"/>
    <n v="159"/>
    <n v="177"/>
    <x v="22"/>
    <x v="1"/>
    <x v="22"/>
    <x v="0"/>
  </r>
  <r>
    <n v="562"/>
    <n v="1"/>
    <d v="2023-08-18T00:00:00"/>
    <s v="Y784"/>
    <n v="1"/>
    <n v="30"/>
    <n v="166"/>
    <n v="227"/>
    <x v="13"/>
    <x v="1"/>
    <x v="13"/>
    <x v="0"/>
  </r>
  <r>
    <n v="563"/>
    <n v="3"/>
    <d v="2023-08-19T00:00:00"/>
    <s v="U109"/>
    <n v="0"/>
    <n v="17"/>
    <n v="167"/>
    <n v="155"/>
    <x v="6"/>
    <x v="1"/>
    <x v="6"/>
    <x v="1"/>
  </r>
  <r>
    <n v="564"/>
    <n v="2"/>
    <d v="2023-08-20T00:00:00"/>
    <s v="T999"/>
    <n v="1"/>
    <n v="21"/>
    <n v="162"/>
    <n v="220"/>
    <x v="15"/>
    <x v="0"/>
    <x v="15"/>
    <x v="2"/>
  </r>
  <r>
    <n v="565"/>
    <n v="2"/>
    <d v="2023-08-21T00:00:00"/>
    <s v="Y674"/>
    <n v="0"/>
    <n v="51"/>
    <n v="166"/>
    <n v="254"/>
    <x v="20"/>
    <x v="1"/>
    <x v="20"/>
    <x v="2"/>
  </r>
  <r>
    <n v="566"/>
    <n v="3"/>
    <d v="2023-08-22T00:00:00"/>
    <s v="T367"/>
    <n v="1"/>
    <n v="52"/>
    <n v="150"/>
    <n v="338"/>
    <x v="19"/>
    <x v="2"/>
    <x v="19"/>
    <x v="1"/>
  </r>
  <r>
    <n v="567"/>
    <n v="2"/>
    <d v="2023-08-23T00:00:00"/>
    <s v="U092"/>
    <n v="1"/>
    <n v="32"/>
    <n v="164"/>
    <n v="214"/>
    <x v="14"/>
    <x v="0"/>
    <x v="14"/>
    <x v="2"/>
  </r>
  <r>
    <n v="568"/>
    <n v="1"/>
    <d v="2023-08-24T00:00:00"/>
    <s v="U546"/>
    <n v="0"/>
    <n v="41"/>
    <n v="160"/>
    <n v="309"/>
    <x v="17"/>
    <x v="2"/>
    <x v="17"/>
    <x v="0"/>
  </r>
  <r>
    <n v="569"/>
    <n v="2"/>
    <d v="2023-08-25T00:00:00"/>
    <s v="U092"/>
    <n v="1"/>
    <n v="70"/>
    <n v="150"/>
    <n v="471"/>
    <x v="14"/>
    <x v="0"/>
    <x v="14"/>
    <x v="2"/>
  </r>
  <r>
    <n v="570"/>
    <n v="2"/>
    <d v="2023-08-26T00:00:00"/>
    <s v="U546"/>
    <n v="1"/>
    <n v="40"/>
    <n v="150"/>
    <n v="549"/>
    <x v="17"/>
    <x v="2"/>
    <x v="17"/>
    <x v="2"/>
  </r>
  <r>
    <n v="571"/>
    <n v="2"/>
    <d v="2023-08-27T00:00:00"/>
    <s v="U533"/>
    <n v="1"/>
    <n v="25"/>
    <n v="168"/>
    <n v="220"/>
    <x v="21"/>
    <x v="0"/>
    <x v="21"/>
    <x v="2"/>
  </r>
  <r>
    <n v="572"/>
    <n v="3"/>
    <d v="2023-08-28T00:00:00"/>
    <s v="U092"/>
    <n v="0"/>
    <n v="55"/>
    <n v="241"/>
    <n v="346"/>
    <x v="14"/>
    <x v="0"/>
    <x v="14"/>
    <x v="1"/>
  </r>
  <r>
    <n v="573"/>
    <n v="1"/>
    <d v="2023-08-29T00:00:00"/>
    <s v="U486"/>
    <n v="0"/>
    <n v="55"/>
    <n v="169"/>
    <n v="446"/>
    <x v="16"/>
    <x v="1"/>
    <x v="16"/>
    <x v="0"/>
  </r>
  <r>
    <n v="574"/>
    <n v="2"/>
    <d v="2023-08-30T00:00:00"/>
    <s v="T562"/>
    <n v="0"/>
    <n v="25"/>
    <n v="162"/>
    <n v="220"/>
    <x v="22"/>
    <x v="1"/>
    <x v="22"/>
    <x v="2"/>
  </r>
  <r>
    <n v="575"/>
    <n v="3"/>
    <d v="2023-08-31T00:00:00"/>
    <s v="U345"/>
    <n v="0"/>
    <n v="20"/>
    <n v="179"/>
    <n v="201"/>
    <x v="11"/>
    <x v="0"/>
    <x v="11"/>
    <x v="1"/>
  </r>
  <r>
    <n v="576"/>
    <n v="2"/>
    <d v="2023-09-01T00:00:00"/>
    <s v="T095"/>
    <n v="0"/>
    <n v="15"/>
    <n v="176"/>
    <n v="496"/>
    <x v="8"/>
    <x v="2"/>
    <x v="8"/>
    <x v="2"/>
  </r>
  <r>
    <n v="577"/>
    <n v="1"/>
    <d v="2023-09-02T00:00:00"/>
    <s v="T857"/>
    <n v="1"/>
    <n v="23"/>
    <n v="164"/>
    <n v="257"/>
    <x v="3"/>
    <x v="2"/>
    <x v="3"/>
    <x v="0"/>
  </r>
  <r>
    <n v="578"/>
    <n v="1"/>
    <d v="2023-09-03T00:00:00"/>
    <s v="U789"/>
    <n v="0"/>
    <n v="10"/>
    <n v="160"/>
    <n v="111"/>
    <x v="9"/>
    <x v="0"/>
    <x v="9"/>
    <x v="0"/>
  </r>
  <r>
    <n v="579"/>
    <n v="3"/>
    <d v="2023-09-04T00:00:00"/>
    <s v="U092"/>
    <n v="1"/>
    <n v="5"/>
    <n v="168"/>
    <n v="19"/>
    <x v="14"/>
    <x v="0"/>
    <x v="14"/>
    <x v="1"/>
  </r>
  <r>
    <n v="580"/>
    <n v="1"/>
    <d v="2023-09-05T00:00:00"/>
    <s v="T562"/>
    <n v="0"/>
    <n v="19"/>
    <n v="158"/>
    <n v="188"/>
    <x v="22"/>
    <x v="1"/>
    <x v="22"/>
    <x v="0"/>
  </r>
  <r>
    <n v="581"/>
    <n v="2"/>
    <d v="2023-09-06T00:00:00"/>
    <s v="T562"/>
    <n v="0"/>
    <n v="11"/>
    <n v="143"/>
    <n v="388"/>
    <x v="22"/>
    <x v="1"/>
    <x v="22"/>
    <x v="2"/>
  </r>
  <r>
    <n v="582"/>
    <n v="3"/>
    <d v="2023-09-07T00:00:00"/>
    <s v="U533"/>
    <n v="0"/>
    <n v="5"/>
    <n v="160"/>
    <n v="58"/>
    <x v="21"/>
    <x v="0"/>
    <x v="21"/>
    <x v="1"/>
  </r>
  <r>
    <n v="583"/>
    <n v="2"/>
    <d v="2023-09-08T00:00:00"/>
    <s v="T980"/>
    <n v="1"/>
    <n v="16"/>
    <n v="161"/>
    <n v="399"/>
    <x v="12"/>
    <x v="1"/>
    <x v="12"/>
    <x v="2"/>
  </r>
  <r>
    <n v="584"/>
    <n v="3"/>
    <d v="2023-09-09T00:00:00"/>
    <s v="U109"/>
    <n v="0"/>
    <n v="5"/>
    <n v="147"/>
    <n v="110"/>
    <x v="6"/>
    <x v="1"/>
    <x v="6"/>
    <x v="1"/>
  </r>
  <r>
    <n v="585"/>
    <n v="3"/>
    <d v="2023-09-10T00:00:00"/>
    <s v="U345"/>
    <n v="1"/>
    <n v="4"/>
    <n v="146"/>
    <n v="113"/>
    <x v="11"/>
    <x v="0"/>
    <x v="11"/>
    <x v="1"/>
  </r>
  <r>
    <n v="586"/>
    <n v="1"/>
    <d v="2023-09-11T00:00:00"/>
    <s v="U546"/>
    <n v="0"/>
    <n v="4"/>
    <n v="195"/>
    <n v="55"/>
    <x v="17"/>
    <x v="2"/>
    <x v="17"/>
    <x v="0"/>
  </r>
  <r>
    <n v="587"/>
    <n v="1"/>
    <d v="2023-09-12T00:00:00"/>
    <s v="Y784"/>
    <n v="0"/>
    <n v="6"/>
    <n v="155"/>
    <n v="220"/>
    <x v="13"/>
    <x v="1"/>
    <x v="13"/>
    <x v="0"/>
  </r>
  <r>
    <n v="588"/>
    <n v="1"/>
    <d v="2023-09-13T00:00:00"/>
    <s v="Y341"/>
    <n v="1"/>
    <n v="26"/>
    <n v="140"/>
    <n v="289"/>
    <x v="24"/>
    <x v="2"/>
    <x v="24"/>
    <x v="0"/>
  </r>
  <r>
    <n v="589"/>
    <n v="2"/>
    <d v="2023-09-14T00:00:00"/>
    <s v="Y847"/>
    <n v="1"/>
    <n v="6"/>
    <n v="149"/>
    <n v="110"/>
    <x v="4"/>
    <x v="0"/>
    <x v="4"/>
    <x v="2"/>
  </r>
  <r>
    <n v="590"/>
    <n v="3"/>
    <d v="2023-09-15T00:00:00"/>
    <s v="U546"/>
    <n v="1"/>
    <n v="13"/>
    <n v="156"/>
    <n v="161"/>
    <x v="17"/>
    <x v="2"/>
    <x v="17"/>
    <x v="1"/>
  </r>
  <r>
    <n v="591"/>
    <n v="2"/>
    <d v="2023-09-16T00:00:00"/>
    <s v="T857"/>
    <n v="1"/>
    <n v="5"/>
    <n v="146"/>
    <n v="116"/>
    <x v="3"/>
    <x v="2"/>
    <x v="3"/>
    <x v="2"/>
  </r>
  <r>
    <n v="592"/>
    <n v="1"/>
    <d v="2023-09-17T00:00:00"/>
    <s v="U109"/>
    <n v="1"/>
    <n v="6"/>
    <n v="148"/>
    <n v="110"/>
    <x v="6"/>
    <x v="1"/>
    <x v="6"/>
    <x v="0"/>
  </r>
  <r>
    <n v="593"/>
    <n v="2"/>
    <d v="2023-09-18T00:00:00"/>
    <s v="T857"/>
    <n v="0"/>
    <n v="8"/>
    <n v="175"/>
    <n v="59"/>
    <x v="3"/>
    <x v="2"/>
    <x v="3"/>
    <x v="2"/>
  </r>
  <r>
    <n v="594"/>
    <n v="3"/>
    <d v="2023-09-19T00:00:00"/>
    <s v="U834"/>
    <n v="1"/>
    <n v="8"/>
    <n v="153"/>
    <n v="78"/>
    <x v="2"/>
    <x v="1"/>
    <x v="2"/>
    <x v="1"/>
  </r>
  <r>
    <n v="595"/>
    <n v="1"/>
    <d v="2023-09-20T00:00:00"/>
    <s v="Y341"/>
    <n v="1"/>
    <n v="13"/>
    <n v="158"/>
    <n v="220"/>
    <x v="24"/>
    <x v="2"/>
    <x v="24"/>
    <x v="0"/>
  </r>
  <r>
    <n v="596"/>
    <n v="2"/>
    <d v="2023-09-21T00:00:00"/>
    <s v="Y099"/>
    <n v="1"/>
    <n v="4"/>
    <n v="154"/>
    <n v="110"/>
    <x v="18"/>
    <x v="1"/>
    <x v="18"/>
    <x v="2"/>
  </r>
  <r>
    <n v="597"/>
    <n v="1"/>
    <d v="2023-09-22T00:00:00"/>
    <s v="Y099"/>
    <n v="0"/>
    <n v="15"/>
    <n v="193"/>
    <n v="89"/>
    <x v="18"/>
    <x v="1"/>
    <x v="18"/>
    <x v="0"/>
  </r>
  <r>
    <n v="598"/>
    <n v="1"/>
    <d v="2023-09-23T00:00:00"/>
    <s v="T367"/>
    <n v="1"/>
    <n v="5"/>
    <n v="163"/>
    <n v="165"/>
    <x v="19"/>
    <x v="2"/>
    <x v="19"/>
    <x v="0"/>
  </r>
  <r>
    <n v="599"/>
    <n v="1"/>
    <d v="2023-09-24T00:00:00"/>
    <s v="Y983"/>
    <n v="1"/>
    <n v="9"/>
    <n v="170"/>
    <n v="265"/>
    <x v="5"/>
    <x v="2"/>
    <x v="5"/>
    <x v="0"/>
  </r>
  <r>
    <n v="600"/>
    <n v="2"/>
    <d v="2023-09-25T00:00:00"/>
    <s v="T367"/>
    <n v="1"/>
    <n v="14"/>
    <n v="137"/>
    <n v="74"/>
    <x v="19"/>
    <x v="2"/>
    <x v="19"/>
    <x v="2"/>
  </r>
  <r>
    <n v="601"/>
    <n v="1"/>
    <d v="2023-09-26T00:00:00"/>
    <s v="Y674"/>
    <n v="1"/>
    <n v="7"/>
    <n v="149"/>
    <n v="58"/>
    <x v="20"/>
    <x v="1"/>
    <x v="20"/>
    <x v="0"/>
  </r>
  <r>
    <n v="602"/>
    <n v="3"/>
    <d v="2023-09-27T00:00:00"/>
    <s v="T980"/>
    <n v="1"/>
    <n v="10"/>
    <n v="150"/>
    <n v="123"/>
    <x v="12"/>
    <x v="1"/>
    <x v="12"/>
    <x v="1"/>
  </r>
  <r>
    <n v="603"/>
    <n v="1"/>
    <d v="2023-09-28T00:00:00"/>
    <s v="T857"/>
    <n v="0"/>
    <n v="11"/>
    <n v="167"/>
    <n v="113"/>
    <x v="3"/>
    <x v="2"/>
    <x v="3"/>
    <x v="0"/>
  </r>
  <r>
    <n v="604"/>
    <n v="3"/>
    <d v="2023-09-29T00:00:00"/>
    <s v="Y674"/>
    <n v="0"/>
    <n v="19"/>
    <n v="146"/>
    <n v="153"/>
    <x v="20"/>
    <x v="1"/>
    <x v="20"/>
    <x v="1"/>
  </r>
  <r>
    <n v="605"/>
    <n v="2"/>
    <d v="2023-09-30T00:00:00"/>
    <s v="T562"/>
    <n v="0"/>
    <n v="9"/>
    <n v="157"/>
    <n v="65"/>
    <x v="22"/>
    <x v="1"/>
    <x v="22"/>
    <x v="2"/>
  </r>
  <r>
    <n v="606"/>
    <n v="3"/>
    <d v="2023-10-01T00:00:00"/>
    <s v="U092"/>
    <n v="0"/>
    <n v="7"/>
    <n v="147"/>
    <n v="115"/>
    <x v="14"/>
    <x v="0"/>
    <x v="14"/>
    <x v="1"/>
  </r>
  <r>
    <n v="607"/>
    <n v="3"/>
    <d v="2023-10-02T00:00:00"/>
    <s v="T244"/>
    <n v="0"/>
    <n v="3"/>
    <n v="138"/>
    <n v="3"/>
    <x v="0"/>
    <x v="0"/>
    <x v="0"/>
    <x v="1"/>
  </r>
  <r>
    <n v="608"/>
    <n v="3"/>
    <d v="2023-10-03T00:00:00"/>
    <s v="T244"/>
    <n v="0"/>
    <n v="8"/>
    <n v="159"/>
    <n v="71"/>
    <x v="0"/>
    <x v="0"/>
    <x v="0"/>
    <x v="1"/>
  </r>
  <r>
    <n v="609"/>
    <n v="3"/>
    <d v="2023-10-04T00:00:00"/>
    <s v="U092"/>
    <n v="1"/>
    <n v="18"/>
    <n v="144"/>
    <n v="144"/>
    <x v="14"/>
    <x v="0"/>
    <x v="14"/>
    <x v="1"/>
  </r>
  <r>
    <n v="610"/>
    <n v="2"/>
    <d v="2023-10-05T00:00:00"/>
    <s v="T609"/>
    <n v="0"/>
    <n v="6"/>
    <n v="158"/>
    <n v="58"/>
    <x v="7"/>
    <x v="1"/>
    <x v="7"/>
    <x v="2"/>
  </r>
  <r>
    <n v="611"/>
    <n v="1"/>
    <d v="2023-10-06T00:00:00"/>
    <s v="Y784"/>
    <n v="0"/>
    <n v="15"/>
    <n v="170"/>
    <n v="150"/>
    <x v="13"/>
    <x v="1"/>
    <x v="13"/>
    <x v="0"/>
  </r>
  <r>
    <n v="612"/>
    <n v="2"/>
    <d v="2023-10-07T00:00:00"/>
    <s v="U345"/>
    <n v="1"/>
    <n v="15"/>
    <n v="130"/>
    <n v="159"/>
    <x v="11"/>
    <x v="0"/>
    <x v="11"/>
    <x v="2"/>
  </r>
  <r>
    <n v="613"/>
    <n v="3"/>
    <d v="2023-10-08T00:00:00"/>
    <s v="U486"/>
    <n v="0"/>
    <n v="16"/>
    <n v="152"/>
    <n v="119"/>
    <x v="16"/>
    <x v="1"/>
    <x v="16"/>
    <x v="1"/>
  </r>
  <r>
    <n v="614"/>
    <n v="3"/>
    <d v="2023-10-09T00:00:00"/>
    <s v="Y857"/>
    <n v="1"/>
    <n v="6"/>
    <n v="142"/>
    <n v="48"/>
    <x v="1"/>
    <x v="0"/>
    <x v="1"/>
    <x v="1"/>
  </r>
  <r>
    <n v="615"/>
    <n v="2"/>
    <d v="2023-10-10T00:00:00"/>
    <s v="U092"/>
    <n v="1"/>
    <n v="9"/>
    <n v="151"/>
    <n v="276"/>
    <x v="14"/>
    <x v="0"/>
    <x v="14"/>
    <x v="2"/>
  </r>
  <r>
    <n v="616"/>
    <n v="3"/>
    <d v="2023-10-11T00:00:00"/>
    <s v="Y092"/>
    <n v="1"/>
    <n v="11"/>
    <n v="150"/>
    <n v="112"/>
    <x v="10"/>
    <x v="2"/>
    <x v="10"/>
    <x v="1"/>
  </r>
  <r>
    <n v="617"/>
    <n v="1"/>
    <d v="2023-10-12T00:00:00"/>
    <s v="U834"/>
    <n v="1"/>
    <n v="9"/>
    <n v="195"/>
    <n v="110"/>
    <x v="2"/>
    <x v="1"/>
    <x v="2"/>
    <x v="0"/>
  </r>
  <r>
    <n v="618"/>
    <n v="1"/>
    <d v="2023-10-13T00:00:00"/>
    <s v="T980"/>
    <n v="0"/>
    <n v="28"/>
    <n v="145"/>
    <n v="74"/>
    <x v="12"/>
    <x v="1"/>
    <x v="12"/>
    <x v="0"/>
  </r>
  <r>
    <n v="619"/>
    <n v="2"/>
    <d v="2023-10-14T00:00:00"/>
    <s v="U789"/>
    <n v="1"/>
    <n v="11"/>
    <n v="148"/>
    <n v="110"/>
    <x v="9"/>
    <x v="0"/>
    <x v="9"/>
    <x v="2"/>
  </r>
  <r>
    <n v="620"/>
    <n v="2"/>
    <d v="2023-10-15T00:00:00"/>
    <s v="T095"/>
    <n v="0"/>
    <n v="9"/>
    <n v="137"/>
    <n v="131"/>
    <x v="8"/>
    <x v="2"/>
    <x v="8"/>
    <x v="2"/>
  </r>
  <r>
    <n v="621"/>
    <n v="1"/>
    <d v="2023-10-16T00:00:00"/>
    <s v="Y341"/>
    <n v="1"/>
    <n v="6"/>
    <n v="141"/>
    <n v="48"/>
    <x v="24"/>
    <x v="2"/>
    <x v="24"/>
    <x v="0"/>
  </r>
  <r>
    <n v="622"/>
    <n v="3"/>
    <d v="2023-10-17T00:00:00"/>
    <s v="Y092"/>
    <n v="0"/>
    <n v="8"/>
    <n v="155"/>
    <n v="58"/>
    <x v="10"/>
    <x v="2"/>
    <x v="10"/>
    <x v="1"/>
  </r>
  <r>
    <n v="623"/>
    <n v="2"/>
    <d v="2023-10-18T00:00:00"/>
    <s v="T562"/>
    <n v="0"/>
    <n v="13"/>
    <n v="163"/>
    <n v="133"/>
    <x v="22"/>
    <x v="1"/>
    <x v="22"/>
    <x v="2"/>
  </r>
  <r>
    <n v="624"/>
    <n v="3"/>
    <d v="2023-10-19T00:00:00"/>
    <s v="T857"/>
    <n v="1"/>
    <n v="13"/>
    <n v="151"/>
    <n v="87"/>
    <x v="3"/>
    <x v="2"/>
    <x v="3"/>
    <x v="1"/>
  </r>
  <r>
    <n v="625"/>
    <n v="2"/>
    <d v="2023-10-20T00:00:00"/>
    <s v="U546"/>
    <n v="0"/>
    <n v="17"/>
    <n v="156"/>
    <n v="315"/>
    <x v="17"/>
    <x v="2"/>
    <x v="17"/>
    <x v="2"/>
  </r>
  <r>
    <n v="626"/>
    <n v="1"/>
    <d v="2023-10-21T00:00:00"/>
    <s v="U834"/>
    <n v="1"/>
    <n v="24"/>
    <n v="166"/>
    <n v="165"/>
    <x v="2"/>
    <x v="1"/>
    <x v="2"/>
    <x v="0"/>
  </r>
  <r>
    <n v="627"/>
    <n v="1"/>
    <d v="2023-10-22T00:00:00"/>
    <s v="Y857"/>
    <n v="0"/>
    <n v="16"/>
    <n v="153"/>
    <n v="98"/>
    <x v="1"/>
    <x v="0"/>
    <x v="1"/>
    <x v="0"/>
  </r>
  <r>
    <n v="628"/>
    <n v="3"/>
    <d v="2023-10-23T00:00:00"/>
    <s v="U834"/>
    <n v="0"/>
    <n v="4"/>
    <n v="144"/>
    <n v="18"/>
    <x v="2"/>
    <x v="1"/>
    <x v="2"/>
    <x v="1"/>
  </r>
  <r>
    <n v="629"/>
    <n v="2"/>
    <d v="2023-10-24T00:00:00"/>
    <s v="Y674"/>
    <n v="0"/>
    <n v="17"/>
    <n v="152"/>
    <n v="331"/>
    <x v="20"/>
    <x v="1"/>
    <x v="20"/>
    <x v="2"/>
  </r>
  <r>
    <n v="630"/>
    <n v="3"/>
    <d v="2023-10-25T00:00:00"/>
    <s v="T999"/>
    <n v="0"/>
    <n v="29"/>
    <n v="157"/>
    <n v="162"/>
    <x v="15"/>
    <x v="0"/>
    <x v="15"/>
    <x v="1"/>
  </r>
  <r>
    <n v="631"/>
    <n v="1"/>
    <d v="2023-10-26T00:00:00"/>
    <s v="U486"/>
    <n v="0"/>
    <n v="18"/>
    <n v="159"/>
    <n v="276"/>
    <x v="16"/>
    <x v="1"/>
    <x v="16"/>
    <x v="0"/>
  </r>
  <r>
    <n v="632"/>
    <n v="1"/>
    <d v="2023-10-27T00:00:00"/>
    <s v="T095"/>
    <n v="1"/>
    <n v="10"/>
    <n v="123"/>
    <n v="164"/>
    <x v="8"/>
    <x v="2"/>
    <x v="8"/>
    <x v="0"/>
  </r>
  <r>
    <n v="633"/>
    <n v="3"/>
    <d v="2023-10-28T00:00:00"/>
    <s v="U533"/>
    <n v="1"/>
    <n v="21"/>
    <n v="155"/>
    <n v="190"/>
    <x v="21"/>
    <x v="0"/>
    <x v="21"/>
    <x v="1"/>
  </r>
  <r>
    <n v="634"/>
    <n v="2"/>
    <d v="2023-10-29T00:00:00"/>
    <s v="T562"/>
    <n v="0"/>
    <n v="14"/>
    <n v="151"/>
    <n v="153"/>
    <x v="22"/>
    <x v="1"/>
    <x v="22"/>
    <x v="2"/>
  </r>
  <r>
    <n v="635"/>
    <n v="2"/>
    <d v="2023-10-30T00:00:00"/>
    <s v="U533"/>
    <n v="1"/>
    <n v="5"/>
    <n v="132"/>
    <n v="55"/>
    <x v="21"/>
    <x v="0"/>
    <x v="21"/>
    <x v="2"/>
  </r>
  <r>
    <n v="636"/>
    <n v="1"/>
    <d v="2023-10-31T00:00:00"/>
    <s v="Y099"/>
    <n v="1"/>
    <n v="9"/>
    <n v="152"/>
    <n v="330"/>
    <x v="18"/>
    <x v="1"/>
    <x v="18"/>
    <x v="0"/>
  </r>
  <r>
    <n v="637"/>
    <n v="1"/>
    <d v="2023-11-01T00:00:00"/>
    <s v="T609"/>
    <n v="0"/>
    <n v="8"/>
    <n v="142"/>
    <n v="79"/>
    <x v="7"/>
    <x v="1"/>
    <x v="7"/>
    <x v="0"/>
  </r>
  <r>
    <n v="638"/>
    <n v="1"/>
    <d v="2023-11-02T00:00:00"/>
    <s v="U486"/>
    <n v="0"/>
    <n v="21"/>
    <n v="166"/>
    <n v="164"/>
    <x v="16"/>
    <x v="1"/>
    <x v="16"/>
    <x v="0"/>
  </r>
  <r>
    <n v="639"/>
    <n v="2"/>
    <d v="2023-11-03T00:00:00"/>
    <s v="U092"/>
    <n v="0"/>
    <n v="14"/>
    <n v="156"/>
    <n v="110"/>
    <x v="14"/>
    <x v="0"/>
    <x v="14"/>
    <x v="2"/>
  </r>
  <r>
    <n v="640"/>
    <n v="3"/>
    <d v="2023-11-04T00:00:00"/>
    <s v="T367"/>
    <n v="0"/>
    <n v="26"/>
    <n v="170"/>
    <n v="297"/>
    <x v="19"/>
    <x v="2"/>
    <x v="19"/>
    <x v="1"/>
  </r>
  <r>
    <n v="641"/>
    <n v="2"/>
    <d v="2023-11-05T00:00:00"/>
    <s v="U109"/>
    <n v="0"/>
    <n v="13"/>
    <n v="165"/>
    <n v="102"/>
    <x v="6"/>
    <x v="1"/>
    <x v="6"/>
    <x v="2"/>
  </r>
  <r>
    <n v="642"/>
    <n v="3"/>
    <d v="2023-11-06T00:00:00"/>
    <s v="T609"/>
    <n v="1"/>
    <n v="20"/>
    <n v="171"/>
    <n v="160"/>
    <x v="7"/>
    <x v="1"/>
    <x v="7"/>
    <x v="1"/>
  </r>
  <r>
    <n v="643"/>
    <n v="1"/>
    <d v="2023-11-07T00:00:00"/>
    <s v="U466"/>
    <n v="1"/>
    <n v="11"/>
    <n v="152"/>
    <n v="138"/>
    <x v="23"/>
    <x v="2"/>
    <x v="23"/>
    <x v="0"/>
  </r>
  <r>
    <n v="644"/>
    <n v="2"/>
    <d v="2023-11-08T00:00:00"/>
    <s v="T999"/>
    <n v="0"/>
    <n v="18"/>
    <n v="143"/>
    <n v="167"/>
    <x v="15"/>
    <x v="0"/>
    <x v="15"/>
    <x v="2"/>
  </r>
  <r>
    <n v="645"/>
    <n v="3"/>
    <d v="2023-11-09T00:00:00"/>
    <s v="Y847"/>
    <n v="0"/>
    <n v="18"/>
    <n v="163"/>
    <n v="126"/>
    <x v="4"/>
    <x v="0"/>
    <x v="4"/>
    <x v="1"/>
  </r>
  <r>
    <n v="646"/>
    <n v="3"/>
    <d v="2023-11-10T00:00:00"/>
    <s v="T244"/>
    <n v="1"/>
    <n v="31"/>
    <n v="157"/>
    <n v="220"/>
    <x v="0"/>
    <x v="0"/>
    <x v="0"/>
    <x v="1"/>
  </r>
  <r>
    <n v="647"/>
    <n v="1"/>
    <d v="2023-11-11T00:00:00"/>
    <s v="U466"/>
    <n v="0"/>
    <n v="23"/>
    <n v="164"/>
    <n v="191"/>
    <x v="23"/>
    <x v="2"/>
    <x v="23"/>
    <x v="0"/>
  </r>
  <r>
    <n v="648"/>
    <n v="2"/>
    <d v="2023-11-12T00:00:00"/>
    <s v="T857"/>
    <n v="0"/>
    <n v="25"/>
    <n v="142"/>
    <n v="166"/>
    <x v="3"/>
    <x v="2"/>
    <x v="3"/>
    <x v="2"/>
  </r>
  <r>
    <n v="649"/>
    <n v="3"/>
    <d v="2023-11-13T00:00:00"/>
    <s v="Y857"/>
    <n v="0"/>
    <n v="9"/>
    <n v="157"/>
    <n v="110"/>
    <x v="1"/>
    <x v="0"/>
    <x v="1"/>
    <x v="1"/>
  </r>
  <r>
    <n v="650"/>
    <n v="1"/>
    <d v="2023-11-14T00:00:00"/>
    <s v="Y341"/>
    <n v="1"/>
    <n v="15"/>
    <n v="129"/>
    <n v="206"/>
    <x v="24"/>
    <x v="2"/>
    <x v="24"/>
    <x v="0"/>
  </r>
  <r>
    <n v="651"/>
    <n v="3"/>
    <d v="2023-11-15T00:00:00"/>
    <s v="Y674"/>
    <n v="0"/>
    <n v="23"/>
    <n v="156"/>
    <n v="275"/>
    <x v="20"/>
    <x v="1"/>
    <x v="20"/>
    <x v="1"/>
  </r>
  <r>
    <n v="652"/>
    <n v="3"/>
    <d v="2023-11-16T00:00:00"/>
    <s v="U345"/>
    <n v="1"/>
    <n v="29"/>
    <n v="160"/>
    <n v="308"/>
    <x v="11"/>
    <x v="0"/>
    <x v="11"/>
    <x v="1"/>
  </r>
  <r>
    <n v="653"/>
    <n v="1"/>
    <d v="2023-11-17T00:00:00"/>
    <s v="U345"/>
    <n v="1"/>
    <n v="21"/>
    <n v="169"/>
    <n v="165"/>
    <x v="11"/>
    <x v="0"/>
    <x v="11"/>
    <x v="0"/>
  </r>
  <r>
    <n v="654"/>
    <n v="1"/>
    <d v="2023-11-18T00:00:00"/>
    <s v="T095"/>
    <n v="0"/>
    <n v="18"/>
    <n v="156"/>
    <n v="330"/>
    <x v="8"/>
    <x v="2"/>
    <x v="8"/>
    <x v="0"/>
  </r>
  <r>
    <n v="655"/>
    <n v="2"/>
    <d v="2023-11-19T00:00:00"/>
    <s v="Y674"/>
    <n v="1"/>
    <n v="30"/>
    <n v="169"/>
    <n v="220"/>
    <x v="20"/>
    <x v="1"/>
    <x v="20"/>
    <x v="2"/>
  </r>
  <r>
    <n v="656"/>
    <n v="1"/>
    <d v="2023-11-20T00:00:00"/>
    <s v="U546"/>
    <n v="1"/>
    <n v="24"/>
    <n v="165"/>
    <n v="72"/>
    <x v="17"/>
    <x v="2"/>
    <x v="17"/>
    <x v="0"/>
  </r>
  <r>
    <n v="657"/>
    <n v="3"/>
    <d v="2023-11-21T00:00:00"/>
    <s v="Y341"/>
    <n v="1"/>
    <n v="23"/>
    <n v="163"/>
    <n v="164"/>
    <x v="24"/>
    <x v="2"/>
    <x v="24"/>
    <x v="1"/>
  </r>
  <r>
    <n v="658"/>
    <n v="1"/>
    <d v="2023-11-22T00:00:00"/>
    <s v="U109"/>
    <n v="1"/>
    <n v="22"/>
    <n v="161"/>
    <n v="269"/>
    <x v="6"/>
    <x v="1"/>
    <x v="6"/>
    <x v="0"/>
  </r>
  <r>
    <n v="659"/>
    <n v="3"/>
    <d v="2023-11-23T00:00:00"/>
    <s v="Y857"/>
    <n v="0"/>
    <n v="12"/>
    <n v="159"/>
    <n v="120"/>
    <x v="1"/>
    <x v="0"/>
    <x v="1"/>
    <x v="1"/>
  </r>
  <r>
    <n v="660"/>
    <n v="1"/>
    <d v="2023-11-24T00:00:00"/>
    <s v="T244"/>
    <n v="0"/>
    <n v="21"/>
    <n v="171"/>
    <n v="159"/>
    <x v="0"/>
    <x v="0"/>
    <x v="0"/>
    <x v="0"/>
  </r>
  <r>
    <n v="661"/>
    <n v="2"/>
    <d v="2023-11-25T00:00:00"/>
    <s v="Y847"/>
    <n v="1"/>
    <n v="13"/>
    <n v="155"/>
    <n v="146"/>
    <x v="4"/>
    <x v="0"/>
    <x v="4"/>
    <x v="2"/>
  </r>
  <r>
    <n v="662"/>
    <n v="2"/>
    <d v="2023-11-26T00:00:00"/>
    <s v="T367"/>
    <n v="0"/>
    <n v="13"/>
    <n v="164"/>
    <n v="140"/>
    <x v="19"/>
    <x v="2"/>
    <x v="19"/>
    <x v="2"/>
  </r>
  <r>
    <n v="663"/>
    <n v="2"/>
    <d v="2023-11-27T00:00:00"/>
    <s v="T367"/>
    <n v="1"/>
    <n v="11"/>
    <n v="131"/>
    <n v="104"/>
    <x v="19"/>
    <x v="2"/>
    <x v="19"/>
    <x v="2"/>
  </r>
  <r>
    <n v="664"/>
    <n v="2"/>
    <d v="2023-11-28T00:00:00"/>
    <s v="Y983"/>
    <n v="0"/>
    <n v="12"/>
    <n v="158"/>
    <n v="82"/>
    <x v="5"/>
    <x v="2"/>
    <x v="5"/>
    <x v="2"/>
  </r>
  <r>
    <n v="665"/>
    <n v="3"/>
    <d v="2023-11-29T00:00:00"/>
    <s v="U109"/>
    <n v="0"/>
    <n v="6"/>
    <n v="129"/>
    <n v="57"/>
    <x v="6"/>
    <x v="1"/>
    <x v="6"/>
    <x v="1"/>
  </r>
  <r>
    <n v="666"/>
    <n v="2"/>
    <d v="2023-11-30T00:00:00"/>
    <s v="U466"/>
    <n v="1"/>
    <n v="7"/>
    <n v="150"/>
    <n v="165"/>
    <x v="23"/>
    <x v="2"/>
    <x v="23"/>
    <x v="2"/>
  </r>
  <r>
    <n v="667"/>
    <n v="2"/>
    <d v="2023-12-01T00:00:00"/>
    <s v="U109"/>
    <n v="0"/>
    <n v="7"/>
    <n v="157"/>
    <n v="55"/>
    <x v="6"/>
    <x v="1"/>
    <x v="6"/>
    <x v="2"/>
  </r>
  <r>
    <n v="668"/>
    <n v="3"/>
    <d v="2023-12-02T00:00:00"/>
    <s v="Y674"/>
    <n v="0"/>
    <n v="9"/>
    <n v="159"/>
    <n v="110"/>
    <x v="20"/>
    <x v="1"/>
    <x v="20"/>
    <x v="1"/>
  </r>
  <r>
    <n v="669"/>
    <n v="2"/>
    <d v="2023-12-03T00:00:00"/>
    <s v="U345"/>
    <n v="0"/>
    <n v="23"/>
    <n v="133"/>
    <n v="317"/>
    <x v="11"/>
    <x v="0"/>
    <x v="11"/>
    <x v="2"/>
  </r>
  <r>
    <n v="670"/>
    <n v="1"/>
    <d v="2023-12-04T00:00:00"/>
    <s v="Y784"/>
    <n v="1"/>
    <n v="9"/>
    <n v="155"/>
    <n v="110"/>
    <x v="13"/>
    <x v="1"/>
    <x v="13"/>
    <x v="0"/>
  </r>
  <r>
    <n v="671"/>
    <n v="3"/>
    <d v="2023-12-05T00:00:00"/>
    <s v="T980"/>
    <n v="1"/>
    <n v="12"/>
    <n v="159"/>
    <n v="152"/>
    <x v="12"/>
    <x v="1"/>
    <x v="12"/>
    <x v="1"/>
  </r>
  <r>
    <n v="672"/>
    <n v="1"/>
    <d v="2023-12-06T00:00:00"/>
    <s v="Y847"/>
    <n v="0"/>
    <n v="17"/>
    <n v="142"/>
    <n v="293"/>
    <x v="4"/>
    <x v="0"/>
    <x v="4"/>
    <x v="0"/>
  </r>
  <r>
    <n v="673"/>
    <n v="1"/>
    <d v="2023-12-07T00:00:00"/>
    <s v="U092"/>
    <n v="0"/>
    <n v="10"/>
    <n v="160"/>
    <n v="98"/>
    <x v="14"/>
    <x v="0"/>
    <x v="14"/>
    <x v="0"/>
  </r>
  <r>
    <n v="674"/>
    <n v="1"/>
    <d v="2023-12-08T00:00:00"/>
    <s v="U834"/>
    <n v="0"/>
    <n v="11"/>
    <n v="145"/>
    <n v="108"/>
    <x v="2"/>
    <x v="1"/>
    <x v="2"/>
    <x v="0"/>
  </r>
  <r>
    <n v="675"/>
    <n v="2"/>
    <d v="2023-12-09T00:00:00"/>
    <s v="Y983"/>
    <n v="1"/>
    <n v="6"/>
    <n v="154"/>
    <n v="58"/>
    <x v="5"/>
    <x v="2"/>
    <x v="5"/>
    <x v="2"/>
  </r>
  <r>
    <n v="676"/>
    <n v="2"/>
    <d v="2023-12-10T00:00:00"/>
    <s v="T562"/>
    <n v="1"/>
    <n v="14"/>
    <n v="156"/>
    <n v="176"/>
    <x v="22"/>
    <x v="1"/>
    <x v="22"/>
    <x v="2"/>
  </r>
  <r>
    <n v="677"/>
    <n v="1"/>
    <d v="2023-12-11T00:00:00"/>
    <s v="U533"/>
    <n v="0"/>
    <n v="15"/>
    <n v="173"/>
    <n v="101"/>
    <x v="21"/>
    <x v="0"/>
    <x v="21"/>
    <x v="0"/>
  </r>
  <r>
    <n v="678"/>
    <n v="1"/>
    <d v="2023-12-12T00:00:00"/>
    <s v="U109"/>
    <n v="0"/>
    <n v="14"/>
    <n v="146"/>
    <n v="203"/>
    <x v="6"/>
    <x v="1"/>
    <x v="6"/>
    <x v="0"/>
  </r>
  <r>
    <n v="679"/>
    <n v="1"/>
    <d v="2023-12-13T00:00:00"/>
    <s v="Y983"/>
    <n v="0"/>
    <n v="16"/>
    <n v="161"/>
    <n v="132"/>
    <x v="5"/>
    <x v="2"/>
    <x v="5"/>
    <x v="0"/>
  </r>
  <r>
    <n v="680"/>
    <n v="3"/>
    <d v="2023-12-14T00:00:00"/>
    <s v="T999"/>
    <n v="1"/>
    <n v="14"/>
    <n v="148"/>
    <n v="137"/>
    <x v="15"/>
    <x v="0"/>
    <x v="15"/>
    <x v="1"/>
  </r>
  <r>
    <n v="681"/>
    <n v="1"/>
    <d v="2023-12-15T00:00:00"/>
    <s v="T857"/>
    <n v="1"/>
    <n v="19"/>
    <n v="159"/>
    <n v="164"/>
    <x v="3"/>
    <x v="2"/>
    <x v="3"/>
    <x v="0"/>
  </r>
  <r>
    <n v="682"/>
    <n v="3"/>
    <d v="2023-12-16T00:00:00"/>
    <s v="U486"/>
    <n v="0"/>
    <n v="23"/>
    <n v="152"/>
    <n v="169"/>
    <x v="16"/>
    <x v="1"/>
    <x v="16"/>
    <x v="1"/>
  </r>
  <r>
    <n v="683"/>
    <n v="3"/>
    <d v="2023-12-17T00:00:00"/>
    <s v="Y983"/>
    <n v="0"/>
    <n v="22"/>
    <n v="162"/>
    <n v="119"/>
    <x v="5"/>
    <x v="2"/>
    <x v="5"/>
    <x v="1"/>
  </r>
  <r>
    <n v="684"/>
    <n v="1"/>
    <d v="2023-12-18T00:00:00"/>
    <s v="U092"/>
    <n v="0"/>
    <n v="39"/>
    <n v="223"/>
    <n v="220"/>
    <x v="14"/>
    <x v="0"/>
    <x v="14"/>
    <x v="0"/>
  </r>
  <r>
    <n v="685"/>
    <n v="3"/>
    <d v="2023-12-19T00:00:00"/>
    <s v="U466"/>
    <n v="1"/>
    <n v="109"/>
    <n v="166"/>
    <n v="661"/>
    <x v="23"/>
    <x v="2"/>
    <x v="23"/>
    <x v="1"/>
  </r>
  <r>
    <n v="686"/>
    <n v="2"/>
    <d v="2023-12-20T00:00:00"/>
    <s v="T562"/>
    <n v="0"/>
    <n v="98"/>
    <n v="138"/>
    <n v="606"/>
    <x v="22"/>
    <x v="1"/>
    <x v="22"/>
    <x v="2"/>
  </r>
  <r>
    <n v="687"/>
    <n v="2"/>
    <d v="2023-12-21T00:00:00"/>
    <s v="U466"/>
    <n v="0"/>
    <n v="64"/>
    <n v="153"/>
    <n v="770"/>
    <x v="23"/>
    <x v="2"/>
    <x v="23"/>
    <x v="2"/>
  </r>
  <r>
    <n v="688"/>
    <n v="2"/>
    <d v="2023-12-22T00:00:00"/>
    <s v="T562"/>
    <n v="0"/>
    <n v="38"/>
    <n v="180"/>
    <n v="332"/>
    <x v="22"/>
    <x v="1"/>
    <x v="22"/>
    <x v="2"/>
  </r>
  <r>
    <n v="689"/>
    <n v="1"/>
    <d v="2023-12-23T00:00:00"/>
    <s v="Y857"/>
    <n v="0"/>
    <n v="20"/>
    <n v="153"/>
    <n v="315"/>
    <x v="1"/>
    <x v="0"/>
    <x v="1"/>
    <x v="0"/>
  </r>
  <r>
    <n v="690"/>
    <n v="3"/>
    <d v="2023-12-24T00:00:00"/>
    <s v="Y341"/>
    <n v="0"/>
    <n v="46"/>
    <n v="159"/>
    <n v="256"/>
    <x v="24"/>
    <x v="2"/>
    <x v="24"/>
    <x v="1"/>
  </r>
  <r>
    <n v="691"/>
    <n v="1"/>
    <d v="2023-12-25T00:00:00"/>
    <s v="T980"/>
    <n v="0"/>
    <n v="17"/>
    <n v="127"/>
    <n v="270"/>
    <x v="12"/>
    <x v="1"/>
    <x v="12"/>
    <x v="0"/>
  </r>
  <r>
    <n v="692"/>
    <n v="2"/>
    <d v="2023-12-26T00:00:00"/>
    <s v="T562"/>
    <n v="1"/>
    <n v="193"/>
    <n v="181"/>
    <n v="1047"/>
    <x v="22"/>
    <x v="1"/>
    <x v="22"/>
    <x v="2"/>
  </r>
  <r>
    <n v="693"/>
    <n v="1"/>
    <d v="2023-12-27T00:00:00"/>
    <s v="Y784"/>
    <n v="1"/>
    <n v="244"/>
    <n v="163"/>
    <n v="938"/>
    <x v="13"/>
    <x v="1"/>
    <x v="13"/>
    <x v="0"/>
  </r>
  <r>
    <n v="694"/>
    <n v="1"/>
    <d v="2023-12-28T00:00:00"/>
    <s v="U486"/>
    <n v="1"/>
    <n v="308"/>
    <n v="188"/>
    <n v="1376"/>
    <x v="16"/>
    <x v="1"/>
    <x v="16"/>
    <x v="0"/>
  </r>
  <r>
    <n v="695"/>
    <n v="1"/>
    <d v="2023-12-29T00:00:00"/>
    <s v="T367"/>
    <n v="0"/>
    <n v="193"/>
    <n v="172"/>
    <n v="1155"/>
    <x v="19"/>
    <x v="2"/>
    <x v="19"/>
    <x v="0"/>
  </r>
  <r>
    <n v="696"/>
    <n v="2"/>
    <d v="2023-12-30T00:00:00"/>
    <s v="Y847"/>
    <n v="0"/>
    <n v="62"/>
    <n v="169"/>
    <n v="882"/>
    <x v="4"/>
    <x v="0"/>
    <x v="4"/>
    <x v="2"/>
  </r>
  <r>
    <n v="697"/>
    <n v="3"/>
    <d v="2023-12-31T00:00:00"/>
    <s v="U092"/>
    <n v="1"/>
    <n v="43"/>
    <n v="157"/>
    <n v="330"/>
    <x v="14"/>
    <x v="0"/>
    <x v="14"/>
    <x v="1"/>
  </r>
  <r>
    <n v="698"/>
    <n v="3"/>
    <d v="2024-01-01T00:00:00"/>
    <s v="Y341"/>
    <n v="0"/>
    <n v="38"/>
    <n v="192"/>
    <n v="330"/>
    <x v="24"/>
    <x v="2"/>
    <x v="24"/>
    <x v="1"/>
  </r>
  <r>
    <n v="699"/>
    <n v="2"/>
    <d v="2024-01-02T00:00:00"/>
    <s v="Y674"/>
    <n v="0"/>
    <n v="34"/>
    <n v="172"/>
    <n v="330"/>
    <x v="20"/>
    <x v="1"/>
    <x v="20"/>
    <x v="2"/>
  </r>
  <r>
    <n v="700"/>
    <n v="2"/>
    <d v="2024-01-03T00:00:00"/>
    <s v="Y857"/>
    <n v="1"/>
    <n v="44"/>
    <n v="175"/>
    <n v="261"/>
    <x v="1"/>
    <x v="0"/>
    <x v="1"/>
    <x v="2"/>
  </r>
  <r>
    <n v="701"/>
    <n v="1"/>
    <d v="2024-01-04T00:00:00"/>
    <s v="Y857"/>
    <n v="1"/>
    <n v="41"/>
    <n v="183"/>
    <n v="349"/>
    <x v="1"/>
    <x v="0"/>
    <x v="1"/>
    <x v="0"/>
  </r>
  <r>
    <n v="702"/>
    <n v="1"/>
    <d v="2024-01-05T00:00:00"/>
    <s v="U466"/>
    <n v="1"/>
    <n v="39"/>
    <n v="186"/>
    <n v="506"/>
    <x v="23"/>
    <x v="2"/>
    <x v="23"/>
    <x v="0"/>
  </r>
  <r>
    <n v="703"/>
    <n v="3"/>
    <d v="2024-01-06T00:00:00"/>
    <s v="T857"/>
    <n v="1"/>
    <n v="38"/>
    <n v="161"/>
    <n v="220"/>
    <x v="3"/>
    <x v="2"/>
    <x v="3"/>
    <x v="1"/>
  </r>
  <r>
    <n v="704"/>
    <n v="1"/>
    <d v="2024-01-07T00:00:00"/>
    <s v="Y784"/>
    <n v="0"/>
    <n v="33"/>
    <n v="165"/>
    <n v="252"/>
    <x v="13"/>
    <x v="1"/>
    <x v="13"/>
    <x v="0"/>
  </r>
  <r>
    <n v="705"/>
    <n v="3"/>
    <d v="2024-01-08T00:00:00"/>
    <s v="Y784"/>
    <n v="1"/>
    <n v="29"/>
    <n v="160"/>
    <n v="168"/>
    <x v="13"/>
    <x v="1"/>
    <x v="13"/>
    <x v="1"/>
  </r>
  <r>
    <n v="706"/>
    <n v="2"/>
    <d v="2024-01-09T00:00:00"/>
    <s v="Y341"/>
    <n v="1"/>
    <n v="39"/>
    <n v="153"/>
    <n v="222"/>
    <x v="24"/>
    <x v="2"/>
    <x v="24"/>
    <x v="2"/>
  </r>
  <r>
    <n v="707"/>
    <n v="1"/>
    <d v="2024-01-10T00:00:00"/>
    <s v="U834"/>
    <n v="1"/>
    <n v="26"/>
    <n v="145"/>
    <n v="222"/>
    <x v="2"/>
    <x v="1"/>
    <x v="2"/>
    <x v="0"/>
  </r>
  <r>
    <n v="708"/>
    <n v="1"/>
    <d v="2024-01-11T00:00:00"/>
    <s v="Y784"/>
    <n v="1"/>
    <n v="24"/>
    <n v="162"/>
    <n v="165"/>
    <x v="13"/>
    <x v="1"/>
    <x v="13"/>
    <x v="0"/>
  </r>
  <r>
    <n v="709"/>
    <n v="1"/>
    <d v="2024-01-12T00:00:00"/>
    <s v="Y784"/>
    <n v="0"/>
    <n v="24"/>
    <n v="151"/>
    <n v="233"/>
    <x v="13"/>
    <x v="1"/>
    <x v="13"/>
    <x v="0"/>
  </r>
  <r>
    <n v="710"/>
    <n v="2"/>
    <d v="2024-01-13T00:00:00"/>
    <s v="U789"/>
    <n v="0"/>
    <n v="34"/>
    <n v="169"/>
    <n v="385"/>
    <x v="9"/>
    <x v="0"/>
    <x v="9"/>
    <x v="2"/>
  </r>
  <r>
    <n v="711"/>
    <n v="3"/>
    <d v="2024-01-14T00:00:00"/>
    <s v="Y099"/>
    <n v="0"/>
    <n v="15"/>
    <n v="160"/>
    <n v="165"/>
    <x v="18"/>
    <x v="1"/>
    <x v="18"/>
    <x v="1"/>
  </r>
  <r>
    <n v="712"/>
    <n v="1"/>
    <d v="2024-01-15T00:00:00"/>
    <s v="T980"/>
    <n v="1"/>
    <n v="15"/>
    <n v="133"/>
    <n v="148"/>
    <x v="12"/>
    <x v="1"/>
    <x v="12"/>
    <x v="0"/>
  </r>
  <r>
    <n v="713"/>
    <n v="2"/>
    <d v="2024-01-16T00:00:00"/>
    <s v="Y784"/>
    <n v="0"/>
    <n v="20"/>
    <n v="160"/>
    <n v="291"/>
    <x v="13"/>
    <x v="1"/>
    <x v="13"/>
    <x v="2"/>
  </r>
  <r>
    <n v="714"/>
    <n v="3"/>
    <d v="2024-01-17T00:00:00"/>
    <s v="T857"/>
    <n v="1"/>
    <n v="23"/>
    <n v="159"/>
    <n v="181"/>
    <x v="3"/>
    <x v="2"/>
    <x v="3"/>
    <x v="1"/>
  </r>
  <r>
    <n v="715"/>
    <n v="3"/>
    <d v="2024-01-18T00:00:00"/>
    <s v="T999"/>
    <n v="1"/>
    <n v="44"/>
    <n v="168"/>
    <n v="457"/>
    <x v="15"/>
    <x v="0"/>
    <x v="15"/>
    <x v="1"/>
  </r>
  <r>
    <n v="716"/>
    <n v="1"/>
    <d v="2024-01-19T00:00:00"/>
    <s v="U345"/>
    <n v="0"/>
    <n v="23"/>
    <n v="158"/>
    <n v="166"/>
    <x v="11"/>
    <x v="0"/>
    <x v="11"/>
    <x v="0"/>
  </r>
  <r>
    <n v="717"/>
    <n v="2"/>
    <d v="2024-01-20T00:00:00"/>
    <s v="T562"/>
    <n v="0"/>
    <n v="17"/>
    <n v="156"/>
    <n v="142"/>
    <x v="22"/>
    <x v="1"/>
    <x v="22"/>
    <x v="2"/>
  </r>
  <r>
    <n v="718"/>
    <n v="1"/>
    <d v="2024-01-21T00:00:00"/>
    <s v="U834"/>
    <n v="0"/>
    <n v="31"/>
    <n v="171"/>
    <n v="216"/>
    <x v="2"/>
    <x v="1"/>
    <x v="2"/>
    <x v="0"/>
  </r>
  <r>
    <n v="719"/>
    <n v="3"/>
    <d v="2024-01-22T00:00:00"/>
    <s v="T367"/>
    <n v="0"/>
    <n v="52"/>
    <n v="209"/>
    <n v="660"/>
    <x v="19"/>
    <x v="2"/>
    <x v="19"/>
    <x v="1"/>
  </r>
  <r>
    <n v="720"/>
    <n v="3"/>
    <d v="2024-01-23T00:00:00"/>
    <s v="Y857"/>
    <n v="0"/>
    <n v="40"/>
    <n v="181"/>
    <n v="416"/>
    <x v="1"/>
    <x v="0"/>
    <x v="1"/>
    <x v="1"/>
  </r>
  <r>
    <n v="721"/>
    <n v="2"/>
    <d v="2024-01-24T00:00:00"/>
    <s v="U789"/>
    <n v="1"/>
    <n v="17"/>
    <n v="163"/>
    <n v="169"/>
    <x v="9"/>
    <x v="0"/>
    <x v="9"/>
    <x v="2"/>
  </r>
  <r>
    <n v="722"/>
    <n v="3"/>
    <d v="2024-01-25T00:00:00"/>
    <s v="T609"/>
    <n v="0"/>
    <n v="16"/>
    <n v="156"/>
    <n v="104"/>
    <x v="7"/>
    <x v="1"/>
    <x v="7"/>
    <x v="1"/>
  </r>
  <r>
    <n v="723"/>
    <n v="2"/>
    <d v="2024-01-26T00:00:00"/>
    <s v="Y784"/>
    <n v="1"/>
    <n v="22"/>
    <n v="157"/>
    <n v="138"/>
    <x v="13"/>
    <x v="1"/>
    <x v="13"/>
    <x v="2"/>
  </r>
  <r>
    <n v="724"/>
    <n v="1"/>
    <d v="2024-01-27T00:00:00"/>
    <s v="Y341"/>
    <n v="1"/>
    <n v="16"/>
    <n v="169"/>
    <n v="168"/>
    <x v="24"/>
    <x v="2"/>
    <x v="24"/>
    <x v="0"/>
  </r>
  <r>
    <n v="725"/>
    <n v="2"/>
    <d v="2024-01-28T00:00:00"/>
    <s v="U109"/>
    <n v="1"/>
    <n v="20"/>
    <n v="161"/>
    <n v="174"/>
    <x v="6"/>
    <x v="1"/>
    <x v="6"/>
    <x v="2"/>
  </r>
  <r>
    <n v="726"/>
    <n v="2"/>
    <d v="2024-01-29T00:00:00"/>
    <s v="T095"/>
    <n v="1"/>
    <n v="14"/>
    <n v="186"/>
    <n v="58"/>
    <x v="8"/>
    <x v="2"/>
    <x v="8"/>
    <x v="2"/>
  </r>
  <r>
    <n v="727"/>
    <n v="3"/>
    <d v="2024-01-30T00:00:00"/>
    <s v="T562"/>
    <n v="0"/>
    <n v="20"/>
    <n v="168"/>
    <n v="152"/>
    <x v="22"/>
    <x v="1"/>
    <x v="22"/>
    <x v="1"/>
  </r>
  <r>
    <n v="728"/>
    <n v="1"/>
    <d v="2024-01-31T00:00:00"/>
    <s v="T244"/>
    <n v="0"/>
    <n v="24"/>
    <n v="171"/>
    <n v="190"/>
    <x v="0"/>
    <x v="0"/>
    <x v="0"/>
    <x v="0"/>
  </r>
  <r>
    <n v="729"/>
    <n v="2"/>
    <d v="2024-02-01T00:00:00"/>
    <s v="U109"/>
    <n v="1"/>
    <n v="17"/>
    <n v="166"/>
    <n v="333"/>
    <x v="6"/>
    <x v="1"/>
    <x v="6"/>
    <x v="2"/>
  </r>
  <r>
    <n v="730"/>
    <n v="2"/>
    <d v="2024-02-02T00:00:00"/>
    <s v="U533"/>
    <n v="0"/>
    <n v="30"/>
    <n v="178"/>
    <n v="299"/>
    <x v="21"/>
    <x v="0"/>
    <x v="21"/>
    <x v="2"/>
  </r>
  <r>
    <n v="731"/>
    <n v="1"/>
    <d v="2024-02-03T00:00:00"/>
    <s v="Y674"/>
    <n v="1"/>
    <n v="25"/>
    <n v="165"/>
    <n v="176"/>
    <x v="20"/>
    <x v="1"/>
    <x v="20"/>
    <x v="0"/>
  </r>
  <r>
    <n v="732"/>
    <n v="1"/>
    <d v="2024-02-04T00:00:00"/>
    <s v="U486"/>
    <n v="1"/>
    <n v="34"/>
    <n v="169"/>
    <n v="300"/>
    <x v="16"/>
    <x v="1"/>
    <x v="16"/>
    <x v="0"/>
  </r>
  <r>
    <n v="733"/>
    <n v="2"/>
    <d v="2024-02-05T00:00:00"/>
    <s v="Y674"/>
    <n v="0"/>
    <n v="20"/>
    <n v="125"/>
    <n v="117"/>
    <x v="20"/>
    <x v="1"/>
    <x v="20"/>
    <x v="2"/>
  </r>
  <r>
    <n v="734"/>
    <n v="2"/>
    <d v="2024-02-06T00:00:00"/>
    <s v="U789"/>
    <n v="1"/>
    <n v="17"/>
    <n v="175"/>
    <n v="195"/>
    <x v="9"/>
    <x v="0"/>
    <x v="9"/>
    <x v="2"/>
  </r>
  <r>
    <n v="735"/>
    <n v="2"/>
    <d v="2024-02-07T00:00:00"/>
    <s v="U789"/>
    <n v="0"/>
    <n v="18"/>
    <n v="167"/>
    <n v="198"/>
    <x v="9"/>
    <x v="0"/>
    <x v="9"/>
    <x v="2"/>
  </r>
  <r>
    <n v="736"/>
    <n v="1"/>
    <d v="2024-02-08T00:00:00"/>
    <s v="Y847"/>
    <n v="0"/>
    <n v="22"/>
    <n v="167"/>
    <n v="114"/>
    <x v="4"/>
    <x v="0"/>
    <x v="4"/>
    <x v="0"/>
  </r>
  <r>
    <n v="737"/>
    <n v="1"/>
    <d v="2024-02-09T00:00:00"/>
    <s v="T999"/>
    <n v="0"/>
    <n v="26"/>
    <n v="172"/>
    <n v="275"/>
    <x v="15"/>
    <x v="0"/>
    <x v="15"/>
    <x v="0"/>
  </r>
  <r>
    <n v="738"/>
    <n v="3"/>
    <d v="2024-02-10T00:00:00"/>
    <s v="U834"/>
    <n v="0"/>
    <n v="19"/>
    <n v="149"/>
    <n v="246"/>
    <x v="2"/>
    <x v="1"/>
    <x v="2"/>
    <x v="1"/>
  </r>
  <r>
    <n v="739"/>
    <n v="2"/>
    <d v="2024-02-11T00:00:00"/>
    <s v="T999"/>
    <n v="1"/>
    <n v="19"/>
    <n v="147"/>
    <n v="164"/>
    <x v="15"/>
    <x v="0"/>
    <x v="15"/>
    <x v="2"/>
  </r>
  <r>
    <n v="740"/>
    <n v="2"/>
    <d v="2024-02-12T00:00:00"/>
    <s v="Y092"/>
    <n v="1"/>
    <n v="16"/>
    <n v="146"/>
    <n v="158"/>
    <x v="10"/>
    <x v="2"/>
    <x v="10"/>
    <x v="2"/>
  </r>
  <r>
    <n v="741"/>
    <n v="1"/>
    <d v="2024-02-13T00:00:00"/>
    <s v="Y674"/>
    <n v="1"/>
    <n v="32"/>
    <n v="142"/>
    <n v="236"/>
    <x v="20"/>
    <x v="1"/>
    <x v="20"/>
    <x v="0"/>
  </r>
  <r>
    <n v="742"/>
    <n v="1"/>
    <d v="2024-02-14T00:00:00"/>
    <s v="Y847"/>
    <n v="0"/>
    <n v="27"/>
    <n v="168"/>
    <n v="193"/>
    <x v="4"/>
    <x v="0"/>
    <x v="4"/>
    <x v="0"/>
  </r>
  <r>
    <n v="743"/>
    <n v="3"/>
    <d v="2024-02-15T00:00:00"/>
    <s v="Y983"/>
    <n v="0"/>
    <n v="19"/>
    <n v="161"/>
    <n v="168"/>
    <x v="5"/>
    <x v="2"/>
    <x v="5"/>
    <x v="1"/>
  </r>
  <r>
    <n v="744"/>
    <n v="1"/>
    <d v="2024-02-16T00:00:00"/>
    <s v="Y784"/>
    <n v="0"/>
    <n v="31"/>
    <n v="169"/>
    <n v="493"/>
    <x v="13"/>
    <x v="1"/>
    <x v="13"/>
    <x v="0"/>
  </r>
  <r>
    <n v="745"/>
    <n v="2"/>
    <d v="2024-02-17T00:00:00"/>
    <s v="Y341"/>
    <n v="0"/>
    <n v="26"/>
    <n v="181"/>
    <n v="220"/>
    <x v="24"/>
    <x v="2"/>
    <x v="24"/>
    <x v="2"/>
  </r>
  <r>
    <n v="746"/>
    <n v="1"/>
    <d v="2024-02-18T00:00:00"/>
    <s v="Y099"/>
    <n v="0"/>
    <n v="25"/>
    <n v="170"/>
    <n v="243"/>
    <x v="18"/>
    <x v="1"/>
    <x v="18"/>
    <x v="0"/>
  </r>
  <r>
    <n v="747"/>
    <n v="1"/>
    <d v="2024-02-19T00:00:00"/>
    <s v="T095"/>
    <n v="1"/>
    <n v="35"/>
    <n v="173"/>
    <n v="178"/>
    <x v="8"/>
    <x v="2"/>
    <x v="8"/>
    <x v="0"/>
  </r>
  <r>
    <n v="748"/>
    <n v="1"/>
    <d v="2024-02-20T00:00:00"/>
    <s v="Y784"/>
    <n v="1"/>
    <n v="23"/>
    <n v="164"/>
    <n v="125"/>
    <x v="13"/>
    <x v="1"/>
    <x v="13"/>
    <x v="0"/>
  </r>
  <r>
    <n v="749"/>
    <n v="3"/>
    <d v="2024-02-21T00:00:00"/>
    <s v="U109"/>
    <n v="1"/>
    <n v="16"/>
    <n v="167"/>
    <n v="381"/>
    <x v="6"/>
    <x v="1"/>
    <x v="6"/>
    <x v="1"/>
  </r>
  <r>
    <n v="750"/>
    <n v="3"/>
    <d v="2024-02-22T00:00:00"/>
    <s v="U533"/>
    <n v="0"/>
    <n v="21"/>
    <n v="138"/>
    <n v="168"/>
    <x v="21"/>
    <x v="0"/>
    <x v="21"/>
    <x v="1"/>
  </r>
  <r>
    <n v="751"/>
    <n v="2"/>
    <d v="2024-02-23T00:00:00"/>
    <s v="Y341"/>
    <n v="1"/>
    <n v="19"/>
    <n v="173"/>
    <n v="276"/>
    <x v="24"/>
    <x v="2"/>
    <x v="24"/>
    <x v="2"/>
  </r>
  <r>
    <n v="752"/>
    <n v="1"/>
    <d v="2024-02-24T00:00:00"/>
    <s v="U789"/>
    <n v="0"/>
    <n v="25"/>
    <n v="168"/>
    <n v="437"/>
    <x v="9"/>
    <x v="0"/>
    <x v="9"/>
    <x v="0"/>
  </r>
  <r>
    <n v="753"/>
    <n v="1"/>
    <d v="2024-02-25T00:00:00"/>
    <s v="U789"/>
    <n v="1"/>
    <n v="47"/>
    <n v="176"/>
    <n v="196"/>
    <x v="9"/>
    <x v="0"/>
    <x v="9"/>
    <x v="0"/>
  </r>
  <r>
    <n v="754"/>
    <n v="2"/>
    <d v="2024-02-26T00:00:00"/>
    <s v="Y341"/>
    <n v="0"/>
    <n v="38"/>
    <n v="141"/>
    <n v="136"/>
    <x v="24"/>
    <x v="2"/>
    <x v="24"/>
    <x v="2"/>
  </r>
  <r>
    <n v="755"/>
    <n v="1"/>
    <d v="2024-02-27T00:00:00"/>
    <s v="T980"/>
    <n v="1"/>
    <n v="21"/>
    <n v="171"/>
    <n v="237"/>
    <x v="12"/>
    <x v="1"/>
    <x v="12"/>
    <x v="0"/>
  </r>
  <r>
    <n v="756"/>
    <n v="1"/>
    <d v="2024-02-28T00:00:00"/>
    <s v="U546"/>
    <n v="1"/>
    <n v="22"/>
    <n v="159"/>
    <n v="158"/>
    <x v="17"/>
    <x v="2"/>
    <x v="17"/>
    <x v="0"/>
  </r>
  <r>
    <n v="757"/>
    <n v="2"/>
    <d v="2024-02-29T00:00:00"/>
    <s v="Y784"/>
    <n v="1"/>
    <n v="34"/>
    <n v="171"/>
    <n v="271"/>
    <x v="13"/>
    <x v="1"/>
    <x v="13"/>
    <x v="2"/>
  </r>
  <r>
    <n v="758"/>
    <n v="1"/>
    <d v="2024-03-01T00:00:00"/>
    <s v="Y341"/>
    <n v="1"/>
    <n v="15"/>
    <n v="176"/>
    <n v="186"/>
    <x v="24"/>
    <x v="2"/>
    <x v="24"/>
    <x v="0"/>
  </r>
  <r>
    <n v="759"/>
    <n v="1"/>
    <d v="2024-03-02T00:00:00"/>
    <s v="T999"/>
    <n v="1"/>
    <n v="15"/>
    <n v="193"/>
    <n v="178"/>
    <x v="15"/>
    <x v="0"/>
    <x v="15"/>
    <x v="0"/>
  </r>
  <r>
    <n v="760"/>
    <n v="2"/>
    <d v="2024-03-03T00:00:00"/>
    <s v="T999"/>
    <n v="1"/>
    <n v="20"/>
    <n v="171"/>
    <n v="287"/>
    <x v="15"/>
    <x v="0"/>
    <x v="15"/>
    <x v="2"/>
  </r>
  <r>
    <n v="761"/>
    <n v="2"/>
    <d v="2024-03-04T00:00:00"/>
    <s v="U092"/>
    <n v="1"/>
    <n v="14"/>
    <n v="152"/>
    <n v="154"/>
    <x v="14"/>
    <x v="0"/>
    <x v="14"/>
    <x v="2"/>
  </r>
  <r>
    <n v="762"/>
    <n v="2"/>
    <d v="2024-03-05T00:00:00"/>
    <s v="U109"/>
    <n v="0"/>
    <n v="26"/>
    <n v="166"/>
    <n v="218"/>
    <x v="6"/>
    <x v="1"/>
    <x v="6"/>
    <x v="2"/>
  </r>
  <r>
    <n v="763"/>
    <n v="2"/>
    <d v="2024-03-06T00:00:00"/>
    <s v="U092"/>
    <n v="1"/>
    <n v="15"/>
    <n v="156"/>
    <n v="128"/>
    <x v="14"/>
    <x v="0"/>
    <x v="14"/>
    <x v="2"/>
  </r>
  <r>
    <n v="764"/>
    <n v="1"/>
    <d v="2024-03-07T00:00:00"/>
    <s v="U533"/>
    <n v="0"/>
    <n v="34"/>
    <n v="176"/>
    <n v="421"/>
    <x v="21"/>
    <x v="0"/>
    <x v="21"/>
    <x v="0"/>
  </r>
  <r>
    <n v="765"/>
    <n v="3"/>
    <d v="2024-03-08T00:00:00"/>
    <s v="T609"/>
    <n v="1"/>
    <n v="20"/>
    <n v="168"/>
    <n v="186"/>
    <x v="7"/>
    <x v="1"/>
    <x v="7"/>
    <x v="1"/>
  </r>
  <r>
    <n v="766"/>
    <n v="2"/>
    <d v="2024-03-09T00:00:00"/>
    <s v="T562"/>
    <n v="0"/>
    <n v="30"/>
    <n v="168"/>
    <n v="496"/>
    <x v="22"/>
    <x v="1"/>
    <x v="22"/>
    <x v="2"/>
  </r>
  <r>
    <n v="767"/>
    <n v="1"/>
    <d v="2024-03-10T00:00:00"/>
    <s v="Y674"/>
    <n v="0"/>
    <n v="59"/>
    <n v="161"/>
    <n v="329"/>
    <x v="20"/>
    <x v="1"/>
    <x v="20"/>
    <x v="0"/>
  </r>
  <r>
    <n v="768"/>
    <n v="3"/>
    <d v="2024-03-11T00:00:00"/>
    <s v="Y857"/>
    <n v="1"/>
    <n v="29"/>
    <n v="151"/>
    <n v="187"/>
    <x v="1"/>
    <x v="0"/>
    <x v="1"/>
    <x v="1"/>
  </r>
  <r>
    <n v="769"/>
    <n v="2"/>
    <d v="2024-03-12T00:00:00"/>
    <s v="U533"/>
    <n v="1"/>
    <n v="43"/>
    <n v="172"/>
    <n v="306"/>
    <x v="21"/>
    <x v="0"/>
    <x v="21"/>
    <x v="2"/>
  </r>
  <r>
    <n v="770"/>
    <n v="1"/>
    <d v="2024-03-13T00:00:00"/>
    <s v="Y857"/>
    <n v="1"/>
    <n v="22"/>
    <n v="168"/>
    <n v="226"/>
    <x v="1"/>
    <x v="0"/>
    <x v="1"/>
    <x v="0"/>
  </r>
  <r>
    <n v="771"/>
    <n v="3"/>
    <d v="2024-03-14T00:00:00"/>
    <s v="T562"/>
    <n v="1"/>
    <n v="37"/>
    <n v="164"/>
    <n v="311"/>
    <x v="22"/>
    <x v="1"/>
    <x v="22"/>
    <x v="1"/>
  </r>
  <r>
    <n v="772"/>
    <n v="3"/>
    <d v="2024-03-15T00:00:00"/>
    <s v="Y784"/>
    <n v="1"/>
    <n v="47"/>
    <n v="180"/>
    <n v="521"/>
    <x v="13"/>
    <x v="1"/>
    <x v="13"/>
    <x v="1"/>
  </r>
  <r>
    <n v="773"/>
    <n v="1"/>
    <d v="2024-03-16T00:00:00"/>
    <s v="U092"/>
    <n v="0"/>
    <n v="34"/>
    <n v="186"/>
    <n v="248"/>
    <x v="14"/>
    <x v="0"/>
    <x v="14"/>
    <x v="0"/>
  </r>
  <r>
    <n v="774"/>
    <n v="1"/>
    <d v="2024-03-17T00:00:00"/>
    <s v="T244"/>
    <n v="1"/>
    <n v="39"/>
    <n v="188"/>
    <n v="215"/>
    <x v="0"/>
    <x v="0"/>
    <x v="0"/>
    <x v="0"/>
  </r>
  <r>
    <n v="775"/>
    <n v="2"/>
    <d v="2024-03-18T00:00:00"/>
    <s v="U789"/>
    <n v="1"/>
    <n v="46"/>
    <n v="203"/>
    <n v="308"/>
    <x v="9"/>
    <x v="0"/>
    <x v="9"/>
    <x v="2"/>
  </r>
  <r>
    <n v="776"/>
    <n v="1"/>
    <d v="2024-03-19T00:00:00"/>
    <s v="U109"/>
    <n v="0"/>
    <n v="40"/>
    <n v="210"/>
    <n v="249"/>
    <x v="6"/>
    <x v="1"/>
    <x v="6"/>
    <x v="0"/>
  </r>
  <r>
    <n v="777"/>
    <n v="2"/>
    <d v="2024-03-20T00:00:00"/>
    <s v="Y847"/>
    <n v="1"/>
    <n v="30"/>
    <n v="194"/>
    <n v="435"/>
    <x v="4"/>
    <x v="0"/>
    <x v="4"/>
    <x v="2"/>
  </r>
  <r>
    <n v="778"/>
    <n v="2"/>
    <d v="2024-03-21T00:00:00"/>
    <s v="Y983"/>
    <n v="1"/>
    <n v="30"/>
    <n v="191"/>
    <n v="352"/>
    <x v="5"/>
    <x v="2"/>
    <x v="5"/>
    <x v="2"/>
  </r>
  <r>
    <n v="779"/>
    <n v="2"/>
    <d v="2024-03-22T00:00:00"/>
    <s v="T609"/>
    <n v="0"/>
    <n v="43"/>
    <n v="207"/>
    <n v="932"/>
    <x v="7"/>
    <x v="1"/>
    <x v="7"/>
    <x v="2"/>
  </r>
  <r>
    <n v="780"/>
    <n v="1"/>
    <d v="2024-03-23T00:00:00"/>
    <s v="Y099"/>
    <n v="1"/>
    <n v="37"/>
    <n v="182"/>
    <n v="317"/>
    <x v="18"/>
    <x v="1"/>
    <x v="18"/>
    <x v="0"/>
  </r>
  <r>
    <n v="781"/>
    <n v="3"/>
    <d v="2024-03-24T00:00:00"/>
    <s v="U834"/>
    <n v="1"/>
    <n v="35"/>
    <n v="183"/>
    <n v="672"/>
    <x v="2"/>
    <x v="1"/>
    <x v="2"/>
    <x v="1"/>
  </r>
  <r>
    <n v="782"/>
    <n v="3"/>
    <d v="2024-03-25T00:00:00"/>
    <s v="U533"/>
    <n v="0"/>
    <n v="14"/>
    <n v="178"/>
    <n v="124"/>
    <x v="21"/>
    <x v="0"/>
    <x v="21"/>
    <x v="1"/>
  </r>
  <r>
    <n v="783"/>
    <n v="1"/>
    <d v="2024-03-26T00:00:00"/>
    <s v="U092"/>
    <n v="1"/>
    <n v="37"/>
    <n v="193"/>
    <n v="339"/>
    <x v="14"/>
    <x v="0"/>
    <x v="14"/>
    <x v="0"/>
  </r>
  <r>
    <n v="784"/>
    <n v="2"/>
    <d v="2024-03-27T00:00:00"/>
    <s v="T367"/>
    <n v="1"/>
    <n v="52"/>
    <n v="181"/>
    <n v="573"/>
    <x v="19"/>
    <x v="2"/>
    <x v="19"/>
    <x v="2"/>
  </r>
  <r>
    <n v="785"/>
    <n v="2"/>
    <d v="2024-03-28T00:00:00"/>
    <s v="Y099"/>
    <n v="1"/>
    <n v="45"/>
    <n v="177"/>
    <n v="347"/>
    <x v="18"/>
    <x v="1"/>
    <x v="18"/>
    <x v="2"/>
  </r>
  <r>
    <n v="786"/>
    <n v="2"/>
    <d v="2024-03-29T00:00:00"/>
    <s v="U834"/>
    <n v="0"/>
    <n v="35"/>
    <n v="189"/>
    <n v="341"/>
    <x v="2"/>
    <x v="1"/>
    <x v="2"/>
    <x v="2"/>
  </r>
  <r>
    <n v="787"/>
    <n v="1"/>
    <d v="2024-03-30T00:00:00"/>
    <s v="Y099"/>
    <n v="0"/>
    <n v="71"/>
    <n v="204"/>
    <n v="1551"/>
    <x v="18"/>
    <x v="1"/>
    <x v="18"/>
    <x v="0"/>
  </r>
  <r>
    <n v="788"/>
    <n v="2"/>
    <d v="2024-03-31T00:00:00"/>
    <s v="Y847"/>
    <n v="0"/>
    <n v="49"/>
    <n v="194"/>
    <n v="536"/>
    <x v="4"/>
    <x v="0"/>
    <x v="4"/>
    <x v="2"/>
  </r>
  <r>
    <n v="789"/>
    <n v="2"/>
    <d v="2024-04-01T00:00:00"/>
    <s v="Y341"/>
    <n v="0"/>
    <n v="32"/>
    <n v="199"/>
    <n v="180"/>
    <x v="24"/>
    <x v="2"/>
    <x v="24"/>
    <x v="2"/>
  </r>
  <r>
    <n v="790"/>
    <n v="2"/>
    <d v="2024-04-02T00:00:00"/>
    <s v="T244"/>
    <n v="0"/>
    <n v="48"/>
    <n v="96"/>
    <n v="645"/>
    <x v="0"/>
    <x v="0"/>
    <x v="0"/>
    <x v="2"/>
  </r>
  <r>
    <n v="791"/>
    <n v="1"/>
    <d v="2024-04-03T00:00:00"/>
    <s v="T095"/>
    <n v="1"/>
    <n v="37"/>
    <n v="125"/>
    <n v="655"/>
    <x v="8"/>
    <x v="2"/>
    <x v="8"/>
    <x v="0"/>
  </r>
  <r>
    <n v="792"/>
    <n v="2"/>
    <d v="2024-04-04T00:00:00"/>
    <s v="T999"/>
    <n v="1"/>
    <n v="54"/>
    <n v="135"/>
    <n v="1019"/>
    <x v="15"/>
    <x v="0"/>
    <x v="15"/>
    <x v="2"/>
  </r>
  <r>
    <n v="793"/>
    <n v="1"/>
    <d v="2024-04-05T00:00:00"/>
    <s v="Y099"/>
    <n v="1"/>
    <n v="48"/>
    <n v="209"/>
    <n v="621"/>
    <x v="18"/>
    <x v="1"/>
    <x v="18"/>
    <x v="0"/>
  </r>
  <r>
    <n v="794"/>
    <n v="1"/>
    <d v="2024-04-06T00:00:00"/>
    <s v="U345"/>
    <n v="1"/>
    <n v="73"/>
    <n v="215"/>
    <n v="552"/>
    <x v="11"/>
    <x v="0"/>
    <x v="11"/>
    <x v="0"/>
  </r>
  <r>
    <n v="795"/>
    <n v="1"/>
    <d v="2024-04-07T00:00:00"/>
    <s v="Y857"/>
    <n v="1"/>
    <n v="83"/>
    <n v="214"/>
    <n v="538"/>
    <x v="1"/>
    <x v="0"/>
    <x v="1"/>
    <x v="0"/>
  </r>
  <r>
    <n v="796"/>
    <n v="1"/>
    <d v="2024-04-08T00:00:00"/>
    <s v="T244"/>
    <n v="1"/>
    <n v="58"/>
    <n v="191"/>
    <n v="322"/>
    <x v="0"/>
    <x v="0"/>
    <x v="0"/>
    <x v="0"/>
  </r>
  <r>
    <n v="797"/>
    <n v="2"/>
    <d v="2024-04-09T00:00:00"/>
    <s v="Y092"/>
    <n v="1"/>
    <n v="58"/>
    <n v="219"/>
    <n v="525"/>
    <x v="10"/>
    <x v="2"/>
    <x v="10"/>
    <x v="2"/>
  </r>
  <r>
    <n v="798"/>
    <n v="1"/>
    <d v="2024-04-10T00:00:00"/>
    <s v="T367"/>
    <n v="0"/>
    <n v="64"/>
    <n v="213"/>
    <n v="547"/>
    <x v="19"/>
    <x v="2"/>
    <x v="19"/>
    <x v="0"/>
  </r>
  <r>
    <n v="799"/>
    <n v="2"/>
    <d v="2024-04-11T00:00:00"/>
    <s v="Y341"/>
    <n v="1"/>
    <n v="121"/>
    <n v="235"/>
    <n v="738"/>
    <x v="24"/>
    <x v="2"/>
    <x v="24"/>
    <x v="2"/>
  </r>
  <r>
    <n v="800"/>
    <n v="2"/>
    <d v="2024-04-12T00:00:00"/>
    <s v="U789"/>
    <n v="0"/>
    <n v="168"/>
    <n v="172"/>
    <n v="998"/>
    <x v="9"/>
    <x v="0"/>
    <x v="9"/>
    <x v="2"/>
  </r>
  <r>
    <n v="801"/>
    <n v="2"/>
    <d v="2024-04-13T00:00:00"/>
    <s v="Y341"/>
    <n v="1"/>
    <n v="161"/>
    <n v="253"/>
    <n v="1302"/>
    <x v="24"/>
    <x v="2"/>
    <x v="24"/>
    <x v="2"/>
  </r>
  <r>
    <n v="802"/>
    <n v="2"/>
    <d v="2024-04-14T00:00:00"/>
    <s v="U092"/>
    <n v="0"/>
    <n v="127"/>
    <n v="209"/>
    <n v="744"/>
    <x v="14"/>
    <x v="0"/>
    <x v="14"/>
    <x v="2"/>
  </r>
  <r>
    <n v="803"/>
    <n v="3"/>
    <d v="2024-04-15T00:00:00"/>
    <s v="U109"/>
    <n v="1"/>
    <n v="34"/>
    <n v="263"/>
    <n v="284"/>
    <x v="6"/>
    <x v="1"/>
    <x v="6"/>
    <x v="1"/>
  </r>
  <r>
    <n v="804"/>
    <n v="2"/>
    <d v="2024-04-16T00:00:00"/>
    <s v="U834"/>
    <n v="0"/>
    <n v="132"/>
    <n v="243"/>
    <n v="744"/>
    <x v="2"/>
    <x v="1"/>
    <x v="2"/>
    <x v="2"/>
  </r>
  <r>
    <n v="805"/>
    <n v="1"/>
    <d v="2024-04-17T00:00:00"/>
    <s v="Y847"/>
    <n v="1"/>
    <n v="64"/>
    <n v="214"/>
    <n v="372"/>
    <x v="4"/>
    <x v="0"/>
    <x v="4"/>
    <x v="0"/>
  </r>
  <r>
    <n v="806"/>
    <n v="3"/>
    <d v="2024-04-18T00:00:00"/>
    <s v="T999"/>
    <n v="0"/>
    <n v="130"/>
    <n v="237"/>
    <n v="818"/>
    <x v="15"/>
    <x v="0"/>
    <x v="15"/>
    <x v="1"/>
  </r>
  <r>
    <n v="807"/>
    <n v="2"/>
    <d v="2024-04-19T00:00:00"/>
    <s v="Y857"/>
    <n v="1"/>
    <n v="102"/>
    <n v="208"/>
    <n v="792"/>
    <x v="1"/>
    <x v="0"/>
    <x v="1"/>
    <x v="2"/>
  </r>
  <r>
    <n v="808"/>
    <n v="1"/>
    <d v="2024-04-20T00:00:00"/>
    <s v="T095"/>
    <n v="1"/>
    <n v="113"/>
    <n v="214"/>
    <n v="1162"/>
    <x v="8"/>
    <x v="2"/>
    <x v="8"/>
    <x v="0"/>
  </r>
  <r>
    <n v="809"/>
    <n v="2"/>
    <d v="2024-04-21T00:00:00"/>
    <s v="T980"/>
    <n v="1"/>
    <n v="85"/>
    <n v="231"/>
    <n v="682"/>
    <x v="12"/>
    <x v="1"/>
    <x v="12"/>
    <x v="2"/>
  </r>
  <r>
    <n v="810"/>
    <n v="3"/>
    <d v="2024-04-22T00:00:00"/>
    <s v="T562"/>
    <n v="0"/>
    <n v="14"/>
    <n v="206"/>
    <n v="201"/>
    <x v="22"/>
    <x v="1"/>
    <x v="22"/>
    <x v="1"/>
  </r>
  <r>
    <n v="811"/>
    <n v="1"/>
    <d v="2024-04-23T00:00:00"/>
    <s v="U466"/>
    <n v="0"/>
    <n v="24"/>
    <n v="222"/>
    <n v="328"/>
    <x v="23"/>
    <x v="2"/>
    <x v="23"/>
    <x v="0"/>
  </r>
  <r>
    <n v="812"/>
    <n v="1"/>
    <d v="2024-04-24T00:00:00"/>
    <s v="Y092"/>
    <n v="1"/>
    <n v="30"/>
    <n v="222"/>
    <n v="473"/>
    <x v="10"/>
    <x v="2"/>
    <x v="10"/>
    <x v="0"/>
  </r>
  <r>
    <n v="813"/>
    <n v="2"/>
    <d v="2024-04-25T00:00:00"/>
    <s v="U533"/>
    <n v="0"/>
    <n v="14"/>
    <n v="212"/>
    <n v="189"/>
    <x v="21"/>
    <x v="0"/>
    <x v="21"/>
    <x v="2"/>
  </r>
  <r>
    <n v="814"/>
    <n v="1"/>
    <d v="2024-04-26T00:00:00"/>
    <s v="T095"/>
    <n v="1"/>
    <n v="32"/>
    <n v="205"/>
    <n v="372"/>
    <x v="8"/>
    <x v="2"/>
    <x v="8"/>
    <x v="0"/>
  </r>
  <r>
    <n v="815"/>
    <n v="2"/>
    <d v="2024-04-27T00:00:00"/>
    <s v="T980"/>
    <n v="0"/>
    <n v="61"/>
    <n v="207"/>
    <n v="475"/>
    <x v="12"/>
    <x v="1"/>
    <x v="12"/>
    <x v="2"/>
  </r>
  <r>
    <n v="816"/>
    <n v="3"/>
    <d v="2024-04-28T00:00:00"/>
    <s v="U466"/>
    <n v="0"/>
    <n v="41"/>
    <n v="195"/>
    <n v="410"/>
    <x v="23"/>
    <x v="2"/>
    <x v="23"/>
    <x v="1"/>
  </r>
  <r>
    <n v="817"/>
    <n v="2"/>
    <d v="2024-04-29T00:00:00"/>
    <s v="T244"/>
    <n v="1"/>
    <n v="9"/>
    <n v="195"/>
    <n v="143"/>
    <x v="0"/>
    <x v="0"/>
    <x v="0"/>
    <x v="2"/>
  </r>
  <r>
    <n v="818"/>
    <n v="2"/>
    <d v="2024-04-30T00:00:00"/>
    <s v="U546"/>
    <n v="1"/>
    <n v="51"/>
    <n v="203"/>
    <n v="406"/>
    <x v="17"/>
    <x v="2"/>
    <x v="17"/>
    <x v="2"/>
  </r>
  <r>
    <n v="819"/>
    <n v="3"/>
    <d v="2024-05-01T00:00:00"/>
    <s v="U466"/>
    <n v="1"/>
    <n v="30"/>
    <n v="197"/>
    <n v="248"/>
    <x v="23"/>
    <x v="2"/>
    <x v="23"/>
    <x v="1"/>
  </r>
  <r>
    <n v="820"/>
    <n v="1"/>
    <d v="2024-05-02T00:00:00"/>
    <s v="T857"/>
    <n v="1"/>
    <n v="26"/>
    <n v="181"/>
    <n v="310"/>
    <x v="3"/>
    <x v="2"/>
    <x v="3"/>
    <x v="0"/>
  </r>
  <r>
    <n v="821"/>
    <n v="3"/>
    <d v="2024-05-03T00:00:00"/>
    <s v="T857"/>
    <n v="0"/>
    <n v="26"/>
    <n v="211"/>
    <n v="298"/>
    <x v="3"/>
    <x v="2"/>
    <x v="3"/>
    <x v="1"/>
  </r>
  <r>
    <n v="822"/>
    <n v="2"/>
    <d v="2024-05-04T00:00:00"/>
    <s v="T562"/>
    <n v="0"/>
    <n v="23"/>
    <n v="170"/>
    <n v="121"/>
    <x v="22"/>
    <x v="1"/>
    <x v="22"/>
    <x v="2"/>
  </r>
  <r>
    <n v="823"/>
    <n v="1"/>
    <d v="2024-05-05T00:00:00"/>
    <s v="Y674"/>
    <n v="1"/>
    <n v="44"/>
    <n v="183"/>
    <n v="304"/>
    <x v="20"/>
    <x v="1"/>
    <x v="20"/>
    <x v="0"/>
  </r>
  <r>
    <n v="824"/>
    <n v="2"/>
    <d v="2024-05-06T00:00:00"/>
    <s v="U466"/>
    <n v="0"/>
    <n v="11"/>
    <n v="199"/>
    <n v="84"/>
    <x v="23"/>
    <x v="2"/>
    <x v="23"/>
    <x v="2"/>
  </r>
  <r>
    <n v="825"/>
    <n v="1"/>
    <d v="2024-05-07T00:00:00"/>
    <s v="T367"/>
    <n v="0"/>
    <n v="31"/>
    <n v="198"/>
    <n v="251"/>
    <x v="19"/>
    <x v="2"/>
    <x v="19"/>
    <x v="0"/>
  </r>
  <r>
    <n v="826"/>
    <n v="3"/>
    <d v="2024-05-08T00:00:00"/>
    <s v="U533"/>
    <n v="0"/>
    <n v="48"/>
    <n v="207"/>
    <n v="310"/>
    <x v="21"/>
    <x v="0"/>
    <x v="21"/>
    <x v="1"/>
  </r>
  <r>
    <n v="827"/>
    <n v="2"/>
    <d v="2024-05-09T00:00:00"/>
    <s v="U109"/>
    <n v="1"/>
    <n v="23"/>
    <n v="193"/>
    <n v="230"/>
    <x v="6"/>
    <x v="1"/>
    <x v="6"/>
    <x v="2"/>
  </r>
  <r>
    <n v="828"/>
    <n v="1"/>
    <d v="2024-05-10T00:00:00"/>
    <s v="T609"/>
    <n v="1"/>
    <n v="30"/>
    <n v="166"/>
    <n v="279"/>
    <x v="7"/>
    <x v="1"/>
    <x v="7"/>
    <x v="0"/>
  </r>
  <r>
    <n v="829"/>
    <n v="1"/>
    <d v="2024-05-11T00:00:00"/>
    <s v="U092"/>
    <n v="0"/>
    <n v="24"/>
    <n v="191"/>
    <n v="170"/>
    <x v="14"/>
    <x v="0"/>
    <x v="14"/>
    <x v="0"/>
  </r>
  <r>
    <n v="830"/>
    <n v="3"/>
    <d v="2024-05-12T00:00:00"/>
    <s v="Y784"/>
    <n v="0"/>
    <n v="20"/>
    <n v="178"/>
    <n v="139"/>
    <x v="13"/>
    <x v="1"/>
    <x v="13"/>
    <x v="1"/>
  </r>
  <r>
    <n v="831"/>
    <n v="2"/>
    <d v="2024-05-13T00:00:00"/>
    <s v="Y784"/>
    <n v="1"/>
    <n v="21"/>
    <n v="171"/>
    <n v="172"/>
    <x v="13"/>
    <x v="1"/>
    <x v="13"/>
    <x v="2"/>
  </r>
  <r>
    <n v="832"/>
    <n v="1"/>
    <d v="2024-05-14T00:00:00"/>
    <s v="T980"/>
    <n v="1"/>
    <n v="32"/>
    <n v="187"/>
    <n v="186"/>
    <x v="12"/>
    <x v="1"/>
    <x v="12"/>
    <x v="0"/>
  </r>
  <r>
    <n v="833"/>
    <n v="1"/>
    <d v="2024-05-15T00:00:00"/>
    <s v="Y341"/>
    <n v="0"/>
    <n v="29"/>
    <n v="190"/>
    <n v="202"/>
    <x v="24"/>
    <x v="2"/>
    <x v="24"/>
    <x v="0"/>
  </r>
  <r>
    <n v="834"/>
    <n v="3"/>
    <d v="2024-05-16T00:00:00"/>
    <s v="Y857"/>
    <n v="0"/>
    <n v="36"/>
    <n v="201"/>
    <n v="310"/>
    <x v="1"/>
    <x v="0"/>
    <x v="1"/>
    <x v="1"/>
  </r>
  <r>
    <n v="835"/>
    <n v="3"/>
    <d v="2024-05-17T00:00:00"/>
    <s v="U834"/>
    <n v="0"/>
    <n v="91"/>
    <n v="205"/>
    <n v="995"/>
    <x v="2"/>
    <x v="1"/>
    <x v="2"/>
    <x v="1"/>
  </r>
  <r>
    <n v="836"/>
    <n v="2"/>
    <d v="2024-05-18T00:00:00"/>
    <s v="U109"/>
    <n v="0"/>
    <n v="120"/>
    <n v="206"/>
    <n v="985"/>
    <x v="6"/>
    <x v="1"/>
    <x v="6"/>
    <x v="2"/>
  </r>
  <r>
    <n v="837"/>
    <n v="3"/>
    <d v="2024-05-19T00:00:00"/>
    <s v="U345"/>
    <n v="0"/>
    <n v="104"/>
    <n v="153"/>
    <n v="744"/>
    <x v="11"/>
    <x v="0"/>
    <x v="11"/>
    <x v="1"/>
  </r>
  <r>
    <n v="838"/>
    <n v="2"/>
    <d v="2024-05-20T00:00:00"/>
    <s v="T095"/>
    <n v="1"/>
    <n v="162"/>
    <n v="193"/>
    <n v="994"/>
    <x v="8"/>
    <x v="2"/>
    <x v="8"/>
    <x v="2"/>
  </r>
  <r>
    <n v="839"/>
    <n v="2"/>
    <d v="2024-05-21T00:00:00"/>
    <s v="T562"/>
    <n v="0"/>
    <n v="92"/>
    <n v="153"/>
    <n v="1365"/>
    <x v="22"/>
    <x v="1"/>
    <x v="22"/>
    <x v="2"/>
  </r>
  <r>
    <n v="840"/>
    <n v="3"/>
    <d v="2024-05-22T00:00:00"/>
    <s v="U533"/>
    <n v="0"/>
    <n v="106"/>
    <n v="190"/>
    <n v="953"/>
    <x v="21"/>
    <x v="0"/>
    <x v="21"/>
    <x v="1"/>
  </r>
  <r>
    <n v="841"/>
    <n v="3"/>
    <d v="2024-05-23T00:00:00"/>
    <s v="U533"/>
    <n v="1"/>
    <n v="168"/>
    <n v="194"/>
    <n v="804"/>
    <x v="21"/>
    <x v="0"/>
    <x v="21"/>
    <x v="1"/>
  </r>
  <r>
    <n v="842"/>
    <n v="1"/>
    <d v="2024-05-24T00:00:00"/>
    <s v="U789"/>
    <n v="1"/>
    <n v="146"/>
    <n v="198"/>
    <n v="853"/>
    <x v="9"/>
    <x v="0"/>
    <x v="9"/>
    <x v="0"/>
  </r>
  <r>
    <n v="843"/>
    <n v="3"/>
    <d v="2024-05-25T00:00:00"/>
    <s v="Y092"/>
    <n v="1"/>
    <n v="304"/>
    <n v="219"/>
    <n v="1357"/>
    <x v="10"/>
    <x v="2"/>
    <x v="10"/>
    <x v="1"/>
  </r>
  <r>
    <n v="844"/>
    <n v="3"/>
    <d v="2024-05-26T00:00:00"/>
    <s v="U109"/>
    <n v="0"/>
    <n v="73"/>
    <n v="203"/>
    <n v="746"/>
    <x v="6"/>
    <x v="1"/>
    <x v="6"/>
    <x v="1"/>
  </r>
  <r>
    <n v="845"/>
    <n v="1"/>
    <d v="2024-05-27T00:00:00"/>
    <s v="T244"/>
    <n v="1"/>
    <n v="53"/>
    <n v="211"/>
    <n v="497"/>
    <x v="0"/>
    <x v="0"/>
    <x v="0"/>
    <x v="0"/>
  </r>
  <r>
    <n v="846"/>
    <n v="3"/>
    <d v="2024-05-28T00:00:00"/>
    <s v="U533"/>
    <n v="0"/>
    <n v="71"/>
    <n v="190"/>
    <n v="868"/>
    <x v="21"/>
    <x v="0"/>
    <x v="21"/>
    <x v="1"/>
  </r>
  <r>
    <n v="847"/>
    <n v="2"/>
    <d v="2024-05-29T00:00:00"/>
    <s v="U486"/>
    <n v="1"/>
    <n v="54"/>
    <n v="184"/>
    <n v="485"/>
    <x v="16"/>
    <x v="1"/>
    <x v="16"/>
    <x v="2"/>
  </r>
  <r>
    <n v="848"/>
    <n v="1"/>
    <d v="2024-05-30T00:00:00"/>
    <s v="T367"/>
    <n v="0"/>
    <n v="67"/>
    <n v="205"/>
    <n v="444"/>
    <x v="19"/>
    <x v="2"/>
    <x v="19"/>
    <x v="0"/>
  </r>
  <r>
    <n v="849"/>
    <n v="1"/>
    <d v="2024-05-31T00:00:00"/>
    <s v="T999"/>
    <n v="0"/>
    <n v="68"/>
    <n v="198"/>
    <n v="931"/>
    <x v="15"/>
    <x v="0"/>
    <x v="15"/>
    <x v="0"/>
  </r>
  <r>
    <n v="850"/>
    <n v="2"/>
    <d v="2024-06-01T00:00:00"/>
    <s v="Y857"/>
    <n v="0"/>
    <n v="83"/>
    <n v="184"/>
    <n v="671"/>
    <x v="1"/>
    <x v="0"/>
    <x v="1"/>
    <x v="2"/>
  </r>
  <r>
    <n v="851"/>
    <n v="1"/>
    <d v="2024-06-02T00:00:00"/>
    <s v="U533"/>
    <n v="1"/>
    <n v="91"/>
    <n v="192"/>
    <n v="629"/>
    <x v="21"/>
    <x v="0"/>
    <x v="21"/>
    <x v="0"/>
  </r>
  <r>
    <n v="852"/>
    <n v="3"/>
    <d v="2024-06-03T00:00:00"/>
    <s v="Y784"/>
    <n v="1"/>
    <n v="34"/>
    <n v="201"/>
    <n v="253"/>
    <x v="13"/>
    <x v="1"/>
    <x v="13"/>
    <x v="1"/>
  </r>
  <r>
    <n v="853"/>
    <n v="3"/>
    <d v="2024-06-04T00:00:00"/>
    <s v="T367"/>
    <n v="1"/>
    <n v="41"/>
    <n v="181"/>
    <n v="661"/>
    <x v="19"/>
    <x v="2"/>
    <x v="19"/>
    <x v="1"/>
  </r>
  <r>
    <n v="854"/>
    <n v="1"/>
    <d v="2024-06-05T00:00:00"/>
    <s v="T999"/>
    <n v="1"/>
    <n v="51"/>
    <n v="187"/>
    <n v="708"/>
    <x v="15"/>
    <x v="0"/>
    <x v="15"/>
    <x v="0"/>
  </r>
  <r>
    <n v="855"/>
    <n v="2"/>
    <d v="2024-06-06T00:00:00"/>
    <s v="U109"/>
    <n v="0"/>
    <n v="50"/>
    <n v="197"/>
    <n v="1304"/>
    <x v="6"/>
    <x v="1"/>
    <x v="6"/>
    <x v="2"/>
  </r>
  <r>
    <n v="856"/>
    <n v="3"/>
    <d v="2024-06-07T00:00:00"/>
    <s v="T562"/>
    <n v="1"/>
    <n v="71"/>
    <n v="197"/>
    <n v="530"/>
    <x v="22"/>
    <x v="1"/>
    <x v="22"/>
    <x v="1"/>
  </r>
  <r>
    <n v="857"/>
    <n v="3"/>
    <d v="2024-06-08T00:00:00"/>
    <s v="Y847"/>
    <n v="1"/>
    <n v="40"/>
    <n v="178"/>
    <n v="421"/>
    <x v="4"/>
    <x v="0"/>
    <x v="4"/>
    <x v="1"/>
  </r>
  <r>
    <n v="858"/>
    <n v="3"/>
    <d v="2024-06-09T00:00:00"/>
    <s v="T244"/>
    <n v="1"/>
    <n v="62"/>
    <n v="196"/>
    <n v="496"/>
    <x v="0"/>
    <x v="0"/>
    <x v="0"/>
    <x v="1"/>
  </r>
  <r>
    <n v="859"/>
    <n v="3"/>
    <d v="2024-06-10T00:00:00"/>
    <s v="T980"/>
    <n v="0"/>
    <n v="29"/>
    <n v="184"/>
    <n v="186"/>
    <x v="12"/>
    <x v="1"/>
    <x v="12"/>
    <x v="1"/>
  </r>
  <r>
    <n v="860"/>
    <n v="1"/>
    <d v="2024-06-11T00:00:00"/>
    <s v="T244"/>
    <n v="1"/>
    <n v="40"/>
    <n v="178"/>
    <n v="211"/>
    <x v="0"/>
    <x v="0"/>
    <x v="0"/>
    <x v="0"/>
  </r>
  <r>
    <n v="861"/>
    <n v="1"/>
    <d v="2024-06-12T00:00:00"/>
    <s v="U486"/>
    <n v="0"/>
    <n v="30"/>
    <n v="179"/>
    <n v="182"/>
    <x v="16"/>
    <x v="1"/>
    <x v="16"/>
    <x v="0"/>
  </r>
  <r>
    <n v="862"/>
    <n v="3"/>
    <d v="2024-06-13T00:00:00"/>
    <s v="Y092"/>
    <n v="0"/>
    <n v="40"/>
    <n v="176"/>
    <n v="414"/>
    <x v="10"/>
    <x v="2"/>
    <x v="10"/>
    <x v="1"/>
  </r>
  <r>
    <n v="863"/>
    <n v="2"/>
    <d v="2024-06-14T00:00:00"/>
    <s v="U109"/>
    <n v="1"/>
    <n v="16"/>
    <n v="174"/>
    <n v="249"/>
    <x v="6"/>
    <x v="1"/>
    <x v="6"/>
    <x v="2"/>
  </r>
  <r>
    <n v="864"/>
    <n v="3"/>
    <d v="2024-06-15T00:00:00"/>
    <s v="U546"/>
    <n v="0"/>
    <n v="55"/>
    <n v="211"/>
    <n v="313"/>
    <x v="17"/>
    <x v="2"/>
    <x v="17"/>
    <x v="1"/>
  </r>
  <r>
    <n v="865"/>
    <n v="2"/>
    <d v="2024-06-16T00:00:00"/>
    <s v="U546"/>
    <n v="0"/>
    <n v="30"/>
    <n v="182"/>
    <n v="594"/>
    <x v="17"/>
    <x v="2"/>
    <x v="17"/>
    <x v="2"/>
  </r>
  <r>
    <n v="866"/>
    <n v="3"/>
    <d v="2024-06-17T00:00:00"/>
    <s v="Y847"/>
    <n v="1"/>
    <n v="12"/>
    <n v="161"/>
    <n v="157"/>
    <x v="4"/>
    <x v="0"/>
    <x v="4"/>
    <x v="1"/>
  </r>
  <r>
    <n v="867"/>
    <n v="2"/>
    <d v="2024-06-18T00:00:00"/>
    <s v="U092"/>
    <n v="0"/>
    <n v="22"/>
    <n v="173"/>
    <n v="177"/>
    <x v="14"/>
    <x v="0"/>
    <x v="14"/>
    <x v="2"/>
  </r>
  <r>
    <n v="868"/>
    <n v="3"/>
    <d v="2024-06-19T00:00:00"/>
    <s v="U092"/>
    <n v="1"/>
    <n v="18"/>
    <n v="175"/>
    <n v="251"/>
    <x v="14"/>
    <x v="0"/>
    <x v="14"/>
    <x v="1"/>
  </r>
  <r>
    <n v="869"/>
    <n v="1"/>
    <d v="2024-06-20T00:00:00"/>
    <s v="Y857"/>
    <n v="0"/>
    <n v="48"/>
    <n v="199"/>
    <n v="342"/>
    <x v="1"/>
    <x v="0"/>
    <x v="1"/>
    <x v="0"/>
  </r>
  <r>
    <n v="870"/>
    <n v="1"/>
    <d v="2024-06-21T00:00:00"/>
    <s v="T980"/>
    <n v="1"/>
    <n v="20"/>
    <n v="186"/>
    <n v="310"/>
    <x v="12"/>
    <x v="1"/>
    <x v="12"/>
    <x v="0"/>
  </r>
  <r>
    <n v="871"/>
    <n v="3"/>
    <d v="2024-06-22T00:00:00"/>
    <s v="Y099"/>
    <n v="0"/>
    <n v="40"/>
    <n v="178"/>
    <n v="1491"/>
    <x v="18"/>
    <x v="1"/>
    <x v="18"/>
    <x v="1"/>
  </r>
  <r>
    <n v="872"/>
    <n v="2"/>
    <d v="2024-06-23T00:00:00"/>
    <s v="Y857"/>
    <n v="0"/>
    <n v="26"/>
    <n v="194"/>
    <n v="234"/>
    <x v="1"/>
    <x v="0"/>
    <x v="1"/>
    <x v="2"/>
  </r>
  <r>
    <n v="873"/>
    <n v="3"/>
    <d v="2024-06-24T00:00:00"/>
    <s v="U834"/>
    <n v="0"/>
    <n v="14"/>
    <n v="150"/>
    <n v="147"/>
    <x v="2"/>
    <x v="1"/>
    <x v="2"/>
    <x v="1"/>
  </r>
  <r>
    <n v="874"/>
    <n v="3"/>
    <d v="2024-06-25T00:00:00"/>
    <s v="Y092"/>
    <n v="0"/>
    <n v="17"/>
    <n v="174"/>
    <n v="179"/>
    <x v="10"/>
    <x v="2"/>
    <x v="10"/>
    <x v="1"/>
  </r>
  <r>
    <n v="875"/>
    <n v="1"/>
    <d v="2024-06-26T00:00:00"/>
    <s v="Y341"/>
    <n v="0"/>
    <n v="4"/>
    <n v="141"/>
    <n v="62"/>
    <x v="24"/>
    <x v="2"/>
    <x v="24"/>
    <x v="0"/>
  </r>
  <r>
    <n v="876"/>
    <n v="1"/>
    <d v="2024-06-27T00:00:00"/>
    <s v="Y847"/>
    <n v="0"/>
    <n v="8"/>
    <n v="166"/>
    <n v="252"/>
    <x v="4"/>
    <x v="0"/>
    <x v="4"/>
    <x v="0"/>
  </r>
  <r>
    <n v="877"/>
    <n v="2"/>
    <d v="2024-06-28T00:00:00"/>
    <s v="Y857"/>
    <n v="1"/>
    <n v="27"/>
    <n v="170"/>
    <n v="251"/>
    <x v="1"/>
    <x v="0"/>
    <x v="1"/>
    <x v="2"/>
  </r>
  <r>
    <n v="878"/>
    <n v="1"/>
    <d v="2024-06-29T00:00:00"/>
    <s v="T609"/>
    <n v="0"/>
    <n v="45"/>
    <n v="178"/>
    <n v="713"/>
    <x v="7"/>
    <x v="1"/>
    <x v="7"/>
    <x v="0"/>
  </r>
  <r>
    <n v="879"/>
    <n v="1"/>
    <d v="2024-06-30T00:00:00"/>
    <s v="Y983"/>
    <n v="1"/>
    <n v="26"/>
    <n v="171"/>
    <n v="373"/>
    <x v="5"/>
    <x v="2"/>
    <x v="5"/>
    <x v="0"/>
  </r>
  <r>
    <n v="880"/>
    <n v="1"/>
    <d v="2024-07-01T00:00:00"/>
    <s v="U466"/>
    <n v="0"/>
    <n v="7"/>
    <n v="166"/>
    <n v="103"/>
    <x v="23"/>
    <x v="2"/>
    <x v="23"/>
    <x v="0"/>
  </r>
  <r>
    <n v="881"/>
    <n v="3"/>
    <d v="2024-07-02T00:00:00"/>
    <s v="U109"/>
    <n v="0"/>
    <n v="17"/>
    <n v="165"/>
    <n v="203"/>
    <x v="6"/>
    <x v="1"/>
    <x v="6"/>
    <x v="1"/>
  </r>
  <r>
    <n v="882"/>
    <n v="3"/>
    <d v="2024-07-03T00:00:00"/>
    <s v="Y857"/>
    <n v="1"/>
    <n v="27"/>
    <n v="166"/>
    <n v="325"/>
    <x v="1"/>
    <x v="0"/>
    <x v="1"/>
    <x v="1"/>
  </r>
  <r>
    <n v="883"/>
    <n v="3"/>
    <d v="2024-07-04T00:00:00"/>
    <s v="T609"/>
    <n v="1"/>
    <n v="55"/>
    <n v="173"/>
    <n v="449"/>
    <x v="7"/>
    <x v="1"/>
    <x v="7"/>
    <x v="1"/>
  </r>
  <r>
    <n v="884"/>
    <n v="2"/>
    <d v="2024-07-05T00:00:00"/>
    <s v="U546"/>
    <n v="1"/>
    <n v="112"/>
    <n v="189"/>
    <n v="666"/>
    <x v="17"/>
    <x v="2"/>
    <x v="17"/>
    <x v="2"/>
  </r>
  <r>
    <n v="885"/>
    <n v="1"/>
    <d v="2024-07-06T00:00:00"/>
    <s v="Y847"/>
    <n v="1"/>
    <n v="44"/>
    <n v="182"/>
    <n v="372"/>
    <x v="4"/>
    <x v="0"/>
    <x v="4"/>
    <x v="0"/>
  </r>
  <r>
    <n v="886"/>
    <n v="2"/>
    <d v="2024-07-07T00:00:00"/>
    <s v="Y099"/>
    <n v="1"/>
    <n v="16"/>
    <n v="171"/>
    <n v="248"/>
    <x v="18"/>
    <x v="1"/>
    <x v="18"/>
    <x v="2"/>
  </r>
  <r>
    <n v="887"/>
    <n v="3"/>
    <d v="2024-07-08T00:00:00"/>
    <s v="U486"/>
    <n v="1"/>
    <n v="5"/>
    <n v="176"/>
    <n v="99"/>
    <x v="16"/>
    <x v="1"/>
    <x v="16"/>
    <x v="1"/>
  </r>
  <r>
    <n v="888"/>
    <n v="2"/>
    <d v="2024-07-09T00:00:00"/>
    <s v="T857"/>
    <n v="1"/>
    <n v="34"/>
    <n v="189"/>
    <n v="252"/>
    <x v="3"/>
    <x v="2"/>
    <x v="3"/>
    <x v="2"/>
  </r>
  <r>
    <n v="889"/>
    <n v="1"/>
    <d v="2024-07-10T00:00:00"/>
    <s v="U466"/>
    <n v="1"/>
    <n v="21"/>
    <n v="183"/>
    <n v="135"/>
    <x v="23"/>
    <x v="2"/>
    <x v="23"/>
    <x v="0"/>
  </r>
  <r>
    <n v="890"/>
    <n v="2"/>
    <d v="2024-07-11T00:00:00"/>
    <s v="T999"/>
    <n v="1"/>
    <n v="24"/>
    <n v="170"/>
    <n v="310"/>
    <x v="15"/>
    <x v="0"/>
    <x v="15"/>
    <x v="2"/>
  </r>
  <r>
    <n v="891"/>
    <n v="3"/>
    <d v="2024-07-12T00:00:00"/>
    <s v="T367"/>
    <n v="0"/>
    <n v="16"/>
    <n v="159"/>
    <n v="377"/>
    <x v="19"/>
    <x v="2"/>
    <x v="19"/>
    <x v="1"/>
  </r>
  <r>
    <n v="892"/>
    <n v="3"/>
    <d v="2024-07-13T00:00:00"/>
    <s v="T857"/>
    <n v="0"/>
    <n v="18"/>
    <n v="157"/>
    <n v="165"/>
    <x v="3"/>
    <x v="2"/>
    <x v="3"/>
    <x v="1"/>
  </r>
  <r>
    <n v="893"/>
    <n v="1"/>
    <d v="2024-07-14T00:00:00"/>
    <s v="T095"/>
    <n v="0"/>
    <n v="20"/>
    <n v="154"/>
    <n v="294"/>
    <x v="8"/>
    <x v="2"/>
    <x v="8"/>
    <x v="0"/>
  </r>
  <r>
    <n v="894"/>
    <n v="2"/>
    <d v="2024-07-15T00:00:00"/>
    <s v="U109"/>
    <n v="0"/>
    <n v="6"/>
    <n v="156"/>
    <n v="65"/>
    <x v="6"/>
    <x v="1"/>
    <x v="6"/>
    <x v="2"/>
  </r>
  <r>
    <n v="895"/>
    <n v="1"/>
    <d v="2024-07-16T00:00:00"/>
    <s v="U533"/>
    <n v="0"/>
    <n v="9"/>
    <n v="159"/>
    <n v="121"/>
    <x v="21"/>
    <x v="0"/>
    <x v="21"/>
    <x v="0"/>
  </r>
  <r>
    <n v="896"/>
    <n v="1"/>
    <d v="2024-07-17T00:00:00"/>
    <s v="U109"/>
    <n v="0"/>
    <n v="9"/>
    <n v="165"/>
    <n v="150"/>
    <x v="6"/>
    <x v="1"/>
    <x v="6"/>
    <x v="0"/>
  </r>
  <r>
    <n v="897"/>
    <n v="1"/>
    <d v="2024-07-18T00:00:00"/>
    <s v="Y099"/>
    <n v="1"/>
    <n v="19"/>
    <n v="168"/>
    <n v="368"/>
    <x v="18"/>
    <x v="1"/>
    <x v="18"/>
    <x v="0"/>
  </r>
  <r>
    <n v="898"/>
    <n v="1"/>
    <d v="2024-07-19T00:00:00"/>
    <s v="Y099"/>
    <n v="0"/>
    <n v="8"/>
    <n v="163"/>
    <n v="187"/>
    <x v="18"/>
    <x v="1"/>
    <x v="18"/>
    <x v="0"/>
  </r>
  <r>
    <n v="899"/>
    <n v="3"/>
    <d v="2024-07-20T00:00:00"/>
    <s v="Y674"/>
    <n v="0"/>
    <n v="8"/>
    <n v="184"/>
    <n v="130"/>
    <x v="20"/>
    <x v="1"/>
    <x v="20"/>
    <x v="1"/>
  </r>
  <r>
    <n v="900"/>
    <n v="1"/>
    <d v="2024-07-21T00:00:00"/>
    <s v="T999"/>
    <n v="0"/>
    <n v="8"/>
    <n v="174"/>
    <n v="167"/>
    <x v="15"/>
    <x v="0"/>
    <x v="15"/>
    <x v="0"/>
  </r>
  <r>
    <n v="901"/>
    <n v="1"/>
    <d v="2024-07-22T00:00:00"/>
    <s v="U486"/>
    <n v="0"/>
    <n v="11"/>
    <n v="158"/>
    <n v="77"/>
    <x v="16"/>
    <x v="1"/>
    <x v="16"/>
    <x v="0"/>
  </r>
  <r>
    <n v="902"/>
    <n v="2"/>
    <d v="2024-07-23T00:00:00"/>
    <s v="T857"/>
    <n v="0"/>
    <n v="45"/>
    <n v="175"/>
    <n v="290"/>
    <x v="3"/>
    <x v="2"/>
    <x v="3"/>
    <x v="2"/>
  </r>
  <r>
    <n v="903"/>
    <n v="2"/>
    <d v="2024-07-24T00:00:00"/>
    <s v="T244"/>
    <n v="1"/>
    <n v="26"/>
    <n v="174"/>
    <n v="558"/>
    <x v="0"/>
    <x v="0"/>
    <x v="0"/>
    <x v="2"/>
  </r>
  <r>
    <n v="904"/>
    <n v="1"/>
    <d v="2024-07-25T00:00:00"/>
    <s v="T980"/>
    <n v="1"/>
    <n v="12"/>
    <n v="122"/>
    <n v="401"/>
    <x v="12"/>
    <x v="1"/>
    <x v="12"/>
    <x v="0"/>
  </r>
  <r>
    <n v="905"/>
    <n v="1"/>
    <d v="2024-07-26T00:00:00"/>
    <s v="U486"/>
    <n v="1"/>
    <n v="41"/>
    <n v="177"/>
    <n v="567"/>
    <x v="16"/>
    <x v="1"/>
    <x v="16"/>
    <x v="0"/>
  </r>
  <r>
    <n v="906"/>
    <n v="3"/>
    <d v="2024-07-27T00:00:00"/>
    <s v="U345"/>
    <n v="0"/>
    <n v="11"/>
    <n v="180"/>
    <n v="342"/>
    <x v="11"/>
    <x v="0"/>
    <x v="11"/>
    <x v="1"/>
  </r>
  <r>
    <n v="907"/>
    <n v="1"/>
    <d v="2024-07-28T00:00:00"/>
    <s v="Y983"/>
    <n v="0"/>
    <n v="15"/>
    <n v="161"/>
    <n v="177"/>
    <x v="5"/>
    <x v="2"/>
    <x v="5"/>
    <x v="0"/>
  </r>
  <r>
    <n v="908"/>
    <n v="3"/>
    <d v="2024-07-29T00:00:00"/>
    <s v="U109"/>
    <n v="0"/>
    <n v="14"/>
    <n v="173"/>
    <n v="127"/>
    <x v="6"/>
    <x v="1"/>
    <x v="6"/>
    <x v="1"/>
  </r>
  <r>
    <n v="909"/>
    <n v="1"/>
    <d v="2024-07-30T00:00:00"/>
    <s v="T095"/>
    <n v="0"/>
    <n v="12"/>
    <n v="156"/>
    <n v="212"/>
    <x v="8"/>
    <x v="2"/>
    <x v="8"/>
    <x v="0"/>
  </r>
  <r>
    <n v="910"/>
    <n v="3"/>
    <d v="2024-07-31T00:00:00"/>
    <s v="Y983"/>
    <n v="0"/>
    <n v="32"/>
    <n v="165"/>
    <n v="579"/>
    <x v="5"/>
    <x v="2"/>
    <x v="5"/>
    <x v="1"/>
  </r>
  <r>
    <n v="911"/>
    <n v="3"/>
    <d v="2024-08-01T00:00:00"/>
    <s v="U345"/>
    <n v="0"/>
    <n v="37"/>
    <n v="200"/>
    <n v="1182"/>
    <x v="11"/>
    <x v="0"/>
    <x v="11"/>
    <x v="1"/>
  </r>
  <r>
    <n v="912"/>
    <n v="3"/>
    <d v="2024-08-02T00:00:00"/>
    <s v="T562"/>
    <n v="1"/>
    <n v="83"/>
    <n v="222"/>
    <n v="724"/>
    <x v="22"/>
    <x v="1"/>
    <x v="22"/>
    <x v="1"/>
  </r>
  <r>
    <n v="913"/>
    <n v="2"/>
    <d v="2024-08-03T00:00:00"/>
    <s v="Y341"/>
    <n v="0"/>
    <n v="106"/>
    <n v="192"/>
    <n v="1551"/>
    <x v="24"/>
    <x v="2"/>
    <x v="24"/>
    <x v="2"/>
  </r>
  <r>
    <n v="914"/>
    <n v="1"/>
    <d v="2024-08-04T00:00:00"/>
    <s v="Y341"/>
    <n v="1"/>
    <n v="127"/>
    <n v="183"/>
    <n v="943"/>
    <x v="24"/>
    <x v="2"/>
    <x v="24"/>
    <x v="0"/>
  </r>
  <r>
    <n v="915"/>
    <n v="1"/>
    <d v="2024-08-05T00:00:00"/>
    <s v="Y983"/>
    <n v="0"/>
    <n v="16"/>
    <n v="151"/>
    <n v="248"/>
    <x v="5"/>
    <x v="2"/>
    <x v="5"/>
    <x v="0"/>
  </r>
  <r>
    <n v="916"/>
    <n v="3"/>
    <d v="2024-08-06T00:00:00"/>
    <s v="T980"/>
    <n v="0"/>
    <n v="56"/>
    <n v="165"/>
    <n v="343"/>
    <x v="12"/>
    <x v="1"/>
    <x v="12"/>
    <x v="1"/>
  </r>
  <r>
    <n v="917"/>
    <n v="3"/>
    <d v="2024-08-07T00:00:00"/>
    <s v="T609"/>
    <n v="0"/>
    <n v="46"/>
    <n v="188"/>
    <n v="496"/>
    <x v="7"/>
    <x v="1"/>
    <x v="7"/>
    <x v="1"/>
  </r>
  <r>
    <n v="918"/>
    <n v="2"/>
    <d v="2024-08-08T00:00:00"/>
    <s v="U092"/>
    <n v="0"/>
    <n v="89"/>
    <n v="230"/>
    <n v="1127"/>
    <x v="14"/>
    <x v="0"/>
    <x v="14"/>
    <x v="2"/>
  </r>
  <r>
    <n v="919"/>
    <n v="3"/>
    <d v="2024-08-09T00:00:00"/>
    <s v="U834"/>
    <n v="0"/>
    <n v="39"/>
    <n v="204"/>
    <n v="310"/>
    <x v="2"/>
    <x v="1"/>
    <x v="2"/>
    <x v="1"/>
  </r>
  <r>
    <n v="920"/>
    <n v="3"/>
    <d v="2024-08-10T00:00:00"/>
    <s v="Y092"/>
    <n v="1"/>
    <n v="41"/>
    <n v="193"/>
    <n v="310"/>
    <x v="10"/>
    <x v="2"/>
    <x v="10"/>
    <x v="1"/>
  </r>
  <r>
    <n v="921"/>
    <n v="2"/>
    <d v="2024-08-11T00:00:00"/>
    <s v="U466"/>
    <n v="0"/>
    <n v="41"/>
    <n v="187"/>
    <n v="200"/>
    <x v="23"/>
    <x v="2"/>
    <x v="23"/>
    <x v="2"/>
  </r>
  <r>
    <n v="922"/>
    <n v="3"/>
    <d v="2024-08-12T00:00:00"/>
    <s v="U546"/>
    <n v="0"/>
    <n v="11"/>
    <n v="189"/>
    <n v="249"/>
    <x v="17"/>
    <x v="2"/>
    <x v="17"/>
    <x v="1"/>
  </r>
  <r>
    <n v="923"/>
    <n v="1"/>
    <d v="2024-08-13T00:00:00"/>
    <s v="Y857"/>
    <n v="1"/>
    <n v="32"/>
    <n v="188"/>
    <n v="434"/>
    <x v="1"/>
    <x v="0"/>
    <x v="1"/>
    <x v="0"/>
  </r>
  <r>
    <n v="924"/>
    <n v="3"/>
    <d v="2024-08-14T00:00:00"/>
    <s v="T244"/>
    <n v="1"/>
    <n v="34"/>
    <n v="182"/>
    <n v="211"/>
    <x v="0"/>
    <x v="0"/>
    <x v="0"/>
    <x v="1"/>
  </r>
  <r>
    <n v="925"/>
    <n v="3"/>
    <d v="2024-08-15T00:00:00"/>
    <s v="U092"/>
    <n v="0"/>
    <n v="25"/>
    <n v="177"/>
    <n v="252"/>
    <x v="14"/>
    <x v="0"/>
    <x v="14"/>
    <x v="1"/>
  </r>
  <r>
    <n v="926"/>
    <n v="1"/>
    <d v="2024-08-16T00:00:00"/>
    <s v="U345"/>
    <n v="0"/>
    <n v="18"/>
    <n v="167"/>
    <n v="249"/>
    <x v="11"/>
    <x v="0"/>
    <x v="11"/>
    <x v="0"/>
  </r>
  <r>
    <n v="927"/>
    <n v="3"/>
    <d v="2024-08-17T00:00:00"/>
    <s v="Y341"/>
    <n v="1"/>
    <n v="18"/>
    <n v="161"/>
    <n v="371"/>
    <x v="24"/>
    <x v="2"/>
    <x v="24"/>
    <x v="1"/>
  </r>
  <r>
    <n v="928"/>
    <n v="3"/>
    <d v="2024-08-18T00:00:00"/>
    <s v="T980"/>
    <n v="0"/>
    <n v="37"/>
    <n v="169"/>
    <n v="371"/>
    <x v="12"/>
    <x v="1"/>
    <x v="12"/>
    <x v="1"/>
  </r>
  <r>
    <n v="929"/>
    <n v="1"/>
    <d v="2024-08-19T00:00:00"/>
    <s v="T980"/>
    <n v="1"/>
    <n v="10"/>
    <n v="201"/>
    <n v="49"/>
    <x v="12"/>
    <x v="1"/>
    <x v="12"/>
    <x v="0"/>
  </r>
  <r>
    <n v="930"/>
    <n v="2"/>
    <d v="2024-08-20T00:00:00"/>
    <s v="Y857"/>
    <n v="1"/>
    <n v="33"/>
    <n v="181"/>
    <n v="254"/>
    <x v="1"/>
    <x v="0"/>
    <x v="1"/>
    <x v="2"/>
  </r>
  <r>
    <n v="931"/>
    <n v="3"/>
    <d v="2024-08-21T00:00:00"/>
    <s v="U834"/>
    <n v="0"/>
    <n v="23"/>
    <n v="159"/>
    <n v="158"/>
    <x v="2"/>
    <x v="1"/>
    <x v="2"/>
    <x v="1"/>
  </r>
  <r>
    <n v="932"/>
    <n v="3"/>
    <d v="2024-08-22T00:00:00"/>
    <s v="T562"/>
    <n v="1"/>
    <n v="20"/>
    <n v="141"/>
    <n v="189"/>
    <x v="22"/>
    <x v="1"/>
    <x v="22"/>
    <x v="1"/>
  </r>
  <r>
    <n v="933"/>
    <n v="3"/>
    <d v="2024-08-23T00:00:00"/>
    <s v="Y099"/>
    <n v="0"/>
    <n v="28"/>
    <n v="157"/>
    <n v="174"/>
    <x v="18"/>
    <x v="1"/>
    <x v="18"/>
    <x v="1"/>
  </r>
  <r>
    <n v="934"/>
    <n v="1"/>
    <d v="2024-08-24T00:00:00"/>
    <s v="Y847"/>
    <n v="1"/>
    <n v="33"/>
    <n v="164"/>
    <n v="399"/>
    <x v="4"/>
    <x v="0"/>
    <x v="4"/>
    <x v="0"/>
  </r>
  <r>
    <n v="935"/>
    <n v="3"/>
    <d v="2024-08-25T00:00:00"/>
    <s v="U345"/>
    <n v="0"/>
    <n v="17"/>
    <n v="166"/>
    <n v="189"/>
    <x v="11"/>
    <x v="0"/>
    <x v="11"/>
    <x v="1"/>
  </r>
  <r>
    <n v="936"/>
    <n v="3"/>
    <d v="2024-08-26T00:00:00"/>
    <s v="U486"/>
    <n v="0"/>
    <n v="18"/>
    <n v="129"/>
    <n v="187"/>
    <x v="16"/>
    <x v="1"/>
    <x v="16"/>
    <x v="1"/>
  </r>
  <r>
    <n v="937"/>
    <n v="1"/>
    <d v="2024-08-27T00:00:00"/>
    <s v="U345"/>
    <n v="1"/>
    <n v="18"/>
    <n v="177"/>
    <n v="372"/>
    <x v="11"/>
    <x v="0"/>
    <x v="11"/>
    <x v="0"/>
  </r>
  <r>
    <n v="938"/>
    <n v="2"/>
    <d v="2024-08-28T00:00:00"/>
    <s v="Y857"/>
    <n v="1"/>
    <n v="9"/>
    <n v="163"/>
    <n v="177"/>
    <x v="1"/>
    <x v="0"/>
    <x v="1"/>
    <x v="2"/>
  </r>
  <r>
    <n v="939"/>
    <n v="2"/>
    <d v="2024-08-29T00:00:00"/>
    <s v="U546"/>
    <n v="0"/>
    <n v="17"/>
    <n v="160"/>
    <n v="230"/>
    <x v="17"/>
    <x v="2"/>
    <x v="17"/>
    <x v="2"/>
  </r>
  <r>
    <n v="940"/>
    <n v="2"/>
    <d v="2024-08-30T00:00:00"/>
    <s v="T244"/>
    <n v="1"/>
    <n v="12"/>
    <n v="166"/>
    <n v="284"/>
    <x v="0"/>
    <x v="0"/>
    <x v="0"/>
    <x v="2"/>
  </r>
  <r>
    <n v="941"/>
    <n v="3"/>
    <d v="2024-08-31T00:00:00"/>
    <s v="U533"/>
    <n v="1"/>
    <n v="17"/>
    <n v="171"/>
    <n v="248"/>
    <x v="21"/>
    <x v="0"/>
    <x v="21"/>
    <x v="1"/>
  </r>
  <r>
    <n v="942"/>
    <n v="3"/>
    <d v="2024-09-01T00:00:00"/>
    <s v="U834"/>
    <n v="0"/>
    <n v="24"/>
    <n v="191"/>
    <n v="187"/>
    <x v="2"/>
    <x v="1"/>
    <x v="2"/>
    <x v="1"/>
  </r>
  <r>
    <n v="943"/>
    <n v="2"/>
    <d v="2024-09-02T00:00:00"/>
    <s v="Y857"/>
    <n v="0"/>
    <n v="24"/>
    <n v="183"/>
    <n v="117"/>
    <x v="1"/>
    <x v="0"/>
    <x v="1"/>
    <x v="2"/>
  </r>
  <r>
    <n v="944"/>
    <n v="1"/>
    <d v="2024-09-03T00:00:00"/>
    <s v="Y092"/>
    <n v="1"/>
    <n v="16"/>
    <n v="167"/>
    <n v="128"/>
    <x v="10"/>
    <x v="2"/>
    <x v="10"/>
    <x v="0"/>
  </r>
  <r>
    <n v="945"/>
    <n v="3"/>
    <d v="2024-09-04T00:00:00"/>
    <s v="T999"/>
    <n v="0"/>
    <n v="21"/>
    <n v="182"/>
    <n v="227"/>
    <x v="15"/>
    <x v="0"/>
    <x v="15"/>
    <x v="1"/>
  </r>
  <r>
    <n v="946"/>
    <n v="3"/>
    <d v="2024-09-05T00:00:00"/>
    <s v="Y784"/>
    <n v="1"/>
    <n v="17"/>
    <n v="178"/>
    <n v="220"/>
    <x v="13"/>
    <x v="1"/>
    <x v="13"/>
    <x v="1"/>
  </r>
  <r>
    <n v="947"/>
    <n v="3"/>
    <d v="2024-09-06T00:00:00"/>
    <s v="T095"/>
    <n v="1"/>
    <n v="19"/>
    <n v="185"/>
    <n v="195"/>
    <x v="8"/>
    <x v="2"/>
    <x v="8"/>
    <x v="1"/>
  </r>
  <r>
    <n v="948"/>
    <n v="3"/>
    <d v="2024-09-07T00:00:00"/>
    <s v="Y341"/>
    <n v="0"/>
    <n v="11"/>
    <n v="137"/>
    <n v="132"/>
    <x v="24"/>
    <x v="2"/>
    <x v="24"/>
    <x v="1"/>
  </r>
  <r>
    <n v="949"/>
    <n v="2"/>
    <d v="2024-09-08T00:00:00"/>
    <s v="T609"/>
    <n v="0"/>
    <n v="29"/>
    <n v="180"/>
    <n v="873"/>
    <x v="7"/>
    <x v="1"/>
    <x v="7"/>
    <x v="2"/>
  </r>
  <r>
    <n v="950"/>
    <n v="1"/>
    <d v="2024-09-09T00:00:00"/>
    <s v="T857"/>
    <n v="0"/>
    <n v="16"/>
    <n v="166"/>
    <n v="87"/>
    <x v="3"/>
    <x v="2"/>
    <x v="3"/>
    <x v="0"/>
  </r>
  <r>
    <n v="951"/>
    <n v="1"/>
    <d v="2024-09-10T00:00:00"/>
    <s v="U345"/>
    <n v="1"/>
    <n v="12"/>
    <n v="155"/>
    <n v="127"/>
    <x v="11"/>
    <x v="0"/>
    <x v="11"/>
    <x v="0"/>
  </r>
  <r>
    <n v="952"/>
    <n v="1"/>
    <d v="2024-09-11T00:00:00"/>
    <s v="T980"/>
    <n v="0"/>
    <n v="74"/>
    <n v="125"/>
    <n v="672"/>
    <x v="12"/>
    <x v="1"/>
    <x v="12"/>
    <x v="0"/>
  </r>
  <r>
    <n v="953"/>
    <n v="2"/>
    <d v="2024-09-12T00:00:00"/>
    <s v="T609"/>
    <n v="1"/>
    <n v="28"/>
    <n v="183"/>
    <n v="532"/>
    <x v="7"/>
    <x v="1"/>
    <x v="7"/>
    <x v="2"/>
  </r>
  <r>
    <n v="954"/>
    <n v="3"/>
    <d v="2024-09-13T00:00:00"/>
    <s v="T857"/>
    <n v="1"/>
    <n v="31"/>
    <n v="185"/>
    <n v="201"/>
    <x v="3"/>
    <x v="2"/>
    <x v="3"/>
    <x v="1"/>
  </r>
  <r>
    <n v="955"/>
    <n v="1"/>
    <d v="2024-09-14T00:00:00"/>
    <s v="T562"/>
    <n v="1"/>
    <n v="20"/>
    <n v="192"/>
    <n v="130"/>
    <x v="22"/>
    <x v="1"/>
    <x v="22"/>
    <x v="0"/>
  </r>
  <r>
    <n v="956"/>
    <n v="1"/>
    <d v="2024-09-15T00:00:00"/>
    <s v="T609"/>
    <n v="1"/>
    <n v="27"/>
    <n v="184"/>
    <n v="247"/>
    <x v="7"/>
    <x v="1"/>
    <x v="7"/>
    <x v="0"/>
  </r>
  <r>
    <n v="957"/>
    <n v="3"/>
    <d v="2024-09-16T00:00:00"/>
    <s v="T609"/>
    <n v="1"/>
    <n v="29"/>
    <n v="135"/>
    <n v="343"/>
    <x v="7"/>
    <x v="1"/>
    <x v="7"/>
    <x v="1"/>
  </r>
  <r>
    <n v="958"/>
    <n v="2"/>
    <d v="2024-09-17T00:00:00"/>
    <s v="U345"/>
    <n v="0"/>
    <n v="28"/>
    <n v="165"/>
    <n v="186"/>
    <x v="11"/>
    <x v="0"/>
    <x v="11"/>
    <x v="2"/>
  </r>
  <r>
    <n v="959"/>
    <n v="2"/>
    <d v="2024-09-18T00:00:00"/>
    <s v="U486"/>
    <n v="1"/>
    <n v="16"/>
    <n v="153"/>
    <n v="188"/>
    <x v="16"/>
    <x v="1"/>
    <x v="16"/>
    <x v="2"/>
  </r>
  <r>
    <n v="960"/>
    <n v="2"/>
    <d v="2024-09-19T00:00:00"/>
    <s v="Y983"/>
    <n v="0"/>
    <n v="34"/>
    <n v="173"/>
    <n v="306"/>
    <x v="5"/>
    <x v="2"/>
    <x v="5"/>
    <x v="2"/>
  </r>
  <r>
    <n v="961"/>
    <n v="3"/>
    <d v="2024-09-20T00:00:00"/>
    <s v="Y674"/>
    <n v="1"/>
    <n v="34"/>
    <n v="178"/>
    <n v="454"/>
    <x v="20"/>
    <x v="1"/>
    <x v="20"/>
    <x v="1"/>
  </r>
  <r>
    <n v="962"/>
    <n v="1"/>
    <d v="2024-09-21T00:00:00"/>
    <s v="U092"/>
    <n v="1"/>
    <n v="16"/>
    <n v="172"/>
    <n v="186"/>
    <x v="14"/>
    <x v="0"/>
    <x v="14"/>
    <x v="0"/>
  </r>
  <r>
    <n v="963"/>
    <n v="1"/>
    <d v="2024-09-22T00:00:00"/>
    <s v="T367"/>
    <n v="1"/>
    <n v="44"/>
    <n v="177"/>
    <n v="368"/>
    <x v="19"/>
    <x v="2"/>
    <x v="19"/>
    <x v="0"/>
  </r>
  <r>
    <n v="964"/>
    <n v="3"/>
    <d v="2024-09-23T00:00:00"/>
    <s v="T999"/>
    <n v="1"/>
    <n v="8"/>
    <n v="160"/>
    <n v="44"/>
    <x v="15"/>
    <x v="0"/>
    <x v="15"/>
    <x v="1"/>
  </r>
  <r>
    <n v="965"/>
    <n v="3"/>
    <d v="2024-09-24T00:00:00"/>
    <s v="U466"/>
    <n v="1"/>
    <n v="24"/>
    <n v="178"/>
    <n v="199"/>
    <x v="23"/>
    <x v="2"/>
    <x v="23"/>
    <x v="1"/>
  </r>
  <r>
    <n v="966"/>
    <n v="1"/>
    <d v="2024-09-25T00:00:00"/>
    <s v="U109"/>
    <n v="1"/>
    <n v="46"/>
    <n v="179"/>
    <n v="560"/>
    <x v="6"/>
    <x v="1"/>
    <x v="6"/>
    <x v="0"/>
  </r>
  <r>
    <n v="967"/>
    <n v="1"/>
    <d v="2024-09-26T00:00:00"/>
    <s v="Y341"/>
    <n v="1"/>
    <n v="33"/>
    <n v="177"/>
    <n v="325"/>
    <x v="24"/>
    <x v="2"/>
    <x v="24"/>
    <x v="0"/>
  </r>
  <r>
    <n v="968"/>
    <n v="1"/>
    <d v="2024-09-27T00:00:00"/>
    <s v="T562"/>
    <n v="1"/>
    <n v="49"/>
    <n v="191"/>
    <n v="412"/>
    <x v="22"/>
    <x v="1"/>
    <x v="22"/>
    <x v="0"/>
  </r>
  <r>
    <n v="969"/>
    <n v="2"/>
    <d v="2024-09-28T00:00:00"/>
    <s v="T999"/>
    <n v="0"/>
    <n v="26"/>
    <n v="169"/>
    <n v="233"/>
    <x v="15"/>
    <x v="0"/>
    <x v="15"/>
    <x v="2"/>
  </r>
  <r>
    <n v="970"/>
    <n v="1"/>
    <d v="2024-09-29T00:00:00"/>
    <s v="T999"/>
    <n v="1"/>
    <n v="14"/>
    <n v="181"/>
    <n v="129"/>
    <x v="15"/>
    <x v="0"/>
    <x v="15"/>
    <x v="0"/>
  </r>
  <r>
    <n v="971"/>
    <n v="1"/>
    <d v="2024-09-30T00:00:00"/>
    <s v="Y983"/>
    <n v="0"/>
    <n v="4"/>
    <n v="199"/>
    <n v="14"/>
    <x v="5"/>
    <x v="2"/>
    <x v="5"/>
    <x v="0"/>
  </r>
  <r>
    <n v="972"/>
    <n v="3"/>
    <d v="2024-10-01T00:00:00"/>
    <s v="Y857"/>
    <n v="1"/>
    <n v="8"/>
    <n v="154"/>
    <n v="124"/>
    <x v="1"/>
    <x v="0"/>
    <x v="1"/>
    <x v="1"/>
  </r>
  <r>
    <n v="973"/>
    <n v="3"/>
    <d v="2024-10-02T00:00:00"/>
    <s v="U789"/>
    <n v="1"/>
    <n v="3"/>
    <n v="288"/>
    <n v="31"/>
    <x v="9"/>
    <x v="0"/>
    <x v="9"/>
    <x v="1"/>
  </r>
  <r>
    <n v="974"/>
    <n v="1"/>
    <d v="2024-10-03T00:00:00"/>
    <s v="U092"/>
    <n v="1"/>
    <n v="33"/>
    <n v="156"/>
    <n v="511"/>
    <x v="14"/>
    <x v="0"/>
    <x v="14"/>
    <x v="0"/>
  </r>
  <r>
    <n v="975"/>
    <n v="1"/>
    <d v="2024-10-04T00:00:00"/>
    <s v="T980"/>
    <n v="0"/>
    <n v="20"/>
    <n v="155"/>
    <n v="146"/>
    <x v="12"/>
    <x v="1"/>
    <x v="12"/>
    <x v="0"/>
  </r>
  <r>
    <n v="976"/>
    <n v="3"/>
    <d v="2024-10-05T00:00:00"/>
    <s v="Y983"/>
    <n v="0"/>
    <n v="28"/>
    <n v="181"/>
    <n v="310"/>
    <x v="5"/>
    <x v="2"/>
    <x v="5"/>
    <x v="1"/>
  </r>
  <r>
    <n v="977"/>
    <n v="3"/>
    <d v="2024-10-06T00:00:00"/>
    <s v="U834"/>
    <n v="0"/>
    <n v="24"/>
    <n v="188"/>
    <n v="154"/>
    <x v="2"/>
    <x v="1"/>
    <x v="2"/>
    <x v="1"/>
  </r>
  <r>
    <n v="978"/>
    <n v="2"/>
    <d v="2024-10-07T00:00:00"/>
    <s v="Y092"/>
    <n v="0"/>
    <n v="12"/>
    <n v="168"/>
    <n v="63"/>
    <x v="10"/>
    <x v="2"/>
    <x v="10"/>
    <x v="2"/>
  </r>
  <r>
    <n v="979"/>
    <n v="3"/>
    <d v="2024-10-08T00:00:00"/>
    <s v="U345"/>
    <n v="0"/>
    <n v="32"/>
    <n v="178"/>
    <n v="268"/>
    <x v="11"/>
    <x v="0"/>
    <x v="11"/>
    <x v="1"/>
  </r>
  <r>
    <n v="980"/>
    <n v="2"/>
    <d v="2024-10-09T00:00:00"/>
    <s v="Y847"/>
    <n v="0"/>
    <n v="30"/>
    <n v="174"/>
    <n v="263"/>
    <x v="4"/>
    <x v="0"/>
    <x v="4"/>
    <x v="2"/>
  </r>
  <r>
    <n v="981"/>
    <n v="2"/>
    <d v="2024-10-10T00:00:00"/>
    <s v="T980"/>
    <n v="1"/>
    <n v="18"/>
    <n v="173"/>
    <n v="168"/>
    <x v="12"/>
    <x v="1"/>
    <x v="12"/>
    <x v="2"/>
  </r>
  <r>
    <n v="982"/>
    <n v="3"/>
    <d v="2024-10-11T00:00:00"/>
    <s v="T999"/>
    <n v="1"/>
    <n v="36"/>
    <n v="192"/>
    <n v="312"/>
    <x v="15"/>
    <x v="0"/>
    <x v="15"/>
    <x v="1"/>
  </r>
  <r>
    <n v="983"/>
    <n v="3"/>
    <d v="2024-10-12T00:00:00"/>
    <s v="U546"/>
    <n v="0"/>
    <n v="10"/>
    <n v="163"/>
    <n v="152"/>
    <x v="17"/>
    <x v="2"/>
    <x v="17"/>
    <x v="1"/>
  </r>
  <r>
    <n v="984"/>
    <n v="2"/>
    <d v="2024-10-13T00:00:00"/>
    <s v="T609"/>
    <n v="1"/>
    <n v="21"/>
    <n v="162"/>
    <n v="197"/>
    <x v="7"/>
    <x v="1"/>
    <x v="7"/>
    <x v="2"/>
  </r>
  <r>
    <n v="985"/>
    <n v="1"/>
    <d v="2024-10-14T00:00:00"/>
    <s v="T244"/>
    <n v="0"/>
    <n v="25"/>
    <n v="123"/>
    <n v="127"/>
    <x v="0"/>
    <x v="0"/>
    <x v="0"/>
    <x v="0"/>
  </r>
  <r>
    <n v="986"/>
    <n v="1"/>
    <d v="2024-10-15T00:00:00"/>
    <s v="U109"/>
    <n v="1"/>
    <n v="29"/>
    <n v="181"/>
    <n v="266"/>
    <x v="6"/>
    <x v="1"/>
    <x v="6"/>
    <x v="0"/>
  </r>
  <r>
    <n v="987"/>
    <n v="1"/>
    <d v="2024-10-16T00:00:00"/>
    <s v="Y847"/>
    <n v="1"/>
    <n v="35"/>
    <n v="178"/>
    <n v="319"/>
    <x v="4"/>
    <x v="0"/>
    <x v="4"/>
    <x v="0"/>
  </r>
  <r>
    <n v="988"/>
    <n v="1"/>
    <d v="2024-10-17T00:00:00"/>
    <s v="Y674"/>
    <n v="1"/>
    <n v="33"/>
    <n v="159"/>
    <n v="321"/>
    <x v="20"/>
    <x v="1"/>
    <x v="20"/>
    <x v="0"/>
  </r>
  <r>
    <n v="989"/>
    <n v="3"/>
    <d v="2024-10-18T00:00:00"/>
    <s v="U345"/>
    <n v="0"/>
    <n v="29"/>
    <n v="168"/>
    <n v="305"/>
    <x v="11"/>
    <x v="0"/>
    <x v="11"/>
    <x v="1"/>
  </r>
  <r>
    <n v="990"/>
    <n v="3"/>
    <d v="2024-10-19T00:00:00"/>
    <s v="T244"/>
    <n v="1"/>
    <n v="34"/>
    <n v="189"/>
    <n v="186"/>
    <x v="0"/>
    <x v="0"/>
    <x v="0"/>
    <x v="1"/>
  </r>
  <r>
    <n v="991"/>
    <n v="2"/>
    <d v="2024-10-20T00:00:00"/>
    <s v="T244"/>
    <n v="1"/>
    <n v="36"/>
    <n v="171"/>
    <n v="353"/>
    <x v="0"/>
    <x v="0"/>
    <x v="0"/>
    <x v="2"/>
  </r>
  <r>
    <n v="992"/>
    <n v="3"/>
    <d v="2024-10-21T00:00:00"/>
    <s v="Y341"/>
    <n v="1"/>
    <n v="47"/>
    <n v="188"/>
    <n v="172"/>
    <x v="24"/>
    <x v="2"/>
    <x v="24"/>
    <x v="1"/>
  </r>
  <r>
    <n v="993"/>
    <n v="2"/>
    <d v="2024-10-22T00:00:00"/>
    <s v="T609"/>
    <n v="1"/>
    <n v="38"/>
    <n v="177"/>
    <n v="248"/>
    <x v="7"/>
    <x v="1"/>
    <x v="7"/>
    <x v="2"/>
  </r>
  <r>
    <n v="994"/>
    <n v="2"/>
    <d v="2024-10-23T00:00:00"/>
    <s v="U109"/>
    <n v="0"/>
    <n v="33"/>
    <n v="164"/>
    <n v="558"/>
    <x v="6"/>
    <x v="1"/>
    <x v="6"/>
    <x v="2"/>
  </r>
  <r>
    <n v="995"/>
    <n v="3"/>
    <d v="2024-10-24T00:00:00"/>
    <s v="Y099"/>
    <n v="0"/>
    <n v="41"/>
    <n v="176"/>
    <n v="343"/>
    <x v="18"/>
    <x v="1"/>
    <x v="18"/>
    <x v="1"/>
  </r>
  <r>
    <n v="996"/>
    <n v="1"/>
    <d v="2024-10-25T00:00:00"/>
    <s v="U533"/>
    <n v="1"/>
    <n v="28"/>
    <n v="169"/>
    <n v="207"/>
    <x v="21"/>
    <x v="0"/>
    <x v="21"/>
    <x v="0"/>
  </r>
  <r>
    <n v="997"/>
    <n v="2"/>
    <d v="2024-10-26T00:00:00"/>
    <s v="U533"/>
    <n v="0"/>
    <n v="28"/>
    <n v="159"/>
    <n v="184"/>
    <x v="21"/>
    <x v="0"/>
    <x v="21"/>
    <x v="2"/>
  </r>
  <r>
    <n v="998"/>
    <n v="3"/>
    <d v="2024-10-27T00:00:00"/>
    <s v="U533"/>
    <n v="0"/>
    <n v="29"/>
    <n v="174"/>
    <n v="395"/>
    <x v="21"/>
    <x v="0"/>
    <x v="21"/>
    <x v="1"/>
  </r>
  <r>
    <n v="999"/>
    <n v="1"/>
    <d v="2024-10-28T00:00:00"/>
    <s v="Y847"/>
    <n v="0"/>
    <n v="17"/>
    <n v="181"/>
    <n v="78"/>
    <x v="4"/>
    <x v="0"/>
    <x v="4"/>
    <x v="0"/>
  </r>
  <r>
    <n v="1000"/>
    <n v="1"/>
    <d v="2024-10-29T00:00:00"/>
    <s v="U345"/>
    <n v="0"/>
    <n v="21"/>
    <n v="178"/>
    <n v="400"/>
    <x v="11"/>
    <x v="0"/>
    <x v="11"/>
    <x v="0"/>
  </r>
  <r>
    <n v="1001"/>
    <n v="3"/>
    <d v="2024-10-30T00:00:00"/>
    <s v="U486"/>
    <n v="1"/>
    <n v="8"/>
    <n v="159"/>
    <n v="62"/>
    <x v="16"/>
    <x v="1"/>
    <x v="16"/>
    <x v="1"/>
  </r>
  <r>
    <n v="1002"/>
    <n v="1"/>
    <d v="2024-10-31T00:00:00"/>
    <s v="T609"/>
    <n v="0"/>
    <n v="18"/>
    <n v="153"/>
    <n v="173"/>
    <x v="7"/>
    <x v="1"/>
    <x v="7"/>
    <x v="0"/>
  </r>
  <r>
    <n v="1003"/>
    <n v="1"/>
    <d v="2024-11-01T00:00:00"/>
    <s v="Y983"/>
    <n v="0"/>
    <n v="33"/>
    <n v="177"/>
    <n v="275"/>
    <x v="5"/>
    <x v="2"/>
    <x v="5"/>
    <x v="0"/>
  </r>
  <r>
    <n v="1004"/>
    <n v="3"/>
    <d v="2024-11-02T00:00:00"/>
    <s v="T095"/>
    <n v="1"/>
    <n v="30"/>
    <n v="172"/>
    <n v="310"/>
    <x v="8"/>
    <x v="2"/>
    <x v="8"/>
    <x v="1"/>
  </r>
  <r>
    <n v="1005"/>
    <n v="1"/>
    <d v="2024-11-03T00:00:00"/>
    <s v="T609"/>
    <n v="0"/>
    <n v="32"/>
    <n v="165"/>
    <n v="372"/>
    <x v="7"/>
    <x v="1"/>
    <x v="7"/>
    <x v="0"/>
  </r>
  <r>
    <n v="1006"/>
    <n v="2"/>
    <d v="2024-11-04T00:00:00"/>
    <s v="T857"/>
    <n v="0"/>
    <n v="16"/>
    <n v="91"/>
    <n v="186"/>
    <x v="3"/>
    <x v="2"/>
    <x v="3"/>
    <x v="2"/>
  </r>
  <r>
    <n v="1007"/>
    <n v="3"/>
    <d v="2024-11-05T00:00:00"/>
    <s v="Y857"/>
    <n v="1"/>
    <n v="28"/>
    <n v="176"/>
    <n v="196"/>
    <x v="1"/>
    <x v="0"/>
    <x v="1"/>
    <x v="1"/>
  </r>
  <r>
    <n v="1008"/>
    <n v="2"/>
    <d v="2024-11-06T00:00:00"/>
    <s v="Y983"/>
    <n v="0"/>
    <n v="21"/>
    <n v="160"/>
    <n v="203"/>
    <x v="5"/>
    <x v="2"/>
    <x v="5"/>
    <x v="2"/>
  </r>
  <r>
    <n v="1009"/>
    <n v="3"/>
    <d v="2024-11-07T00:00:00"/>
    <s v="U092"/>
    <n v="1"/>
    <n v="19"/>
    <n v="154"/>
    <n v="127"/>
    <x v="14"/>
    <x v="0"/>
    <x v="14"/>
    <x v="1"/>
  </r>
  <r>
    <n v="1010"/>
    <n v="1"/>
    <d v="2024-11-08T00:00:00"/>
    <s v="Y674"/>
    <n v="1"/>
    <n v="50"/>
    <n v="184"/>
    <n v="361"/>
    <x v="20"/>
    <x v="1"/>
    <x v="20"/>
    <x v="0"/>
  </r>
  <r>
    <n v="1011"/>
    <n v="2"/>
    <d v="2024-11-09T00:00:00"/>
    <s v="U466"/>
    <n v="0"/>
    <n v="33"/>
    <n v="172"/>
    <n v="310"/>
    <x v="23"/>
    <x v="2"/>
    <x v="23"/>
    <x v="2"/>
  </r>
  <r>
    <n v="1012"/>
    <n v="1"/>
    <d v="2024-11-10T00:00:00"/>
    <s v="Y099"/>
    <n v="1"/>
    <n v="15"/>
    <n v="223"/>
    <n v="92"/>
    <x v="18"/>
    <x v="1"/>
    <x v="18"/>
    <x v="0"/>
  </r>
  <r>
    <n v="1013"/>
    <n v="1"/>
    <d v="2024-11-11T00:00:00"/>
    <s v="U486"/>
    <n v="1"/>
    <n v="3"/>
    <n v="176"/>
    <n v="6"/>
    <x v="16"/>
    <x v="1"/>
    <x v="16"/>
    <x v="0"/>
  </r>
  <r>
    <n v="1014"/>
    <n v="2"/>
    <d v="2024-11-12T00:00:00"/>
    <s v="U789"/>
    <n v="1"/>
    <n v="22"/>
    <n v="156"/>
    <n v="195"/>
    <x v="9"/>
    <x v="0"/>
    <x v="9"/>
    <x v="2"/>
  </r>
  <r>
    <n v="1015"/>
    <n v="3"/>
    <d v="2024-11-13T00:00:00"/>
    <s v="U466"/>
    <n v="0"/>
    <n v="22"/>
    <n v="171"/>
    <n v="310"/>
    <x v="23"/>
    <x v="2"/>
    <x v="23"/>
    <x v="1"/>
  </r>
  <r>
    <n v="1016"/>
    <n v="1"/>
    <d v="2024-11-14T00:00:00"/>
    <s v="T367"/>
    <n v="0"/>
    <n v="29"/>
    <n v="167"/>
    <n v="251"/>
    <x v="19"/>
    <x v="2"/>
    <x v="19"/>
    <x v="0"/>
  </r>
  <r>
    <n v="1017"/>
    <n v="2"/>
    <d v="2024-11-15T00:00:00"/>
    <s v="Y674"/>
    <n v="0"/>
    <n v="37"/>
    <n v="167"/>
    <n v="257"/>
    <x v="20"/>
    <x v="1"/>
    <x v="20"/>
    <x v="2"/>
  </r>
  <r>
    <n v="1018"/>
    <n v="3"/>
    <d v="2024-11-16T00:00:00"/>
    <s v="T244"/>
    <n v="0"/>
    <n v="31"/>
    <n v="170"/>
    <n v="346"/>
    <x v="0"/>
    <x v="0"/>
    <x v="0"/>
    <x v="1"/>
  </r>
  <r>
    <n v="1019"/>
    <n v="1"/>
    <d v="2024-11-17T00:00:00"/>
    <s v="U834"/>
    <n v="0"/>
    <n v="29"/>
    <n v="138"/>
    <n v="310"/>
    <x v="2"/>
    <x v="1"/>
    <x v="2"/>
    <x v="0"/>
  </r>
  <r>
    <n v="1020"/>
    <n v="1"/>
    <d v="2024-11-18T00:00:00"/>
    <s v="T980"/>
    <n v="0"/>
    <n v="9"/>
    <n v="148"/>
    <n v="65"/>
    <x v="12"/>
    <x v="1"/>
    <x v="12"/>
    <x v="0"/>
  </r>
  <r>
    <n v="1021"/>
    <n v="1"/>
    <d v="2024-11-19T00:00:00"/>
    <s v="U466"/>
    <n v="1"/>
    <n v="19"/>
    <n v="150"/>
    <n v="151"/>
    <x v="23"/>
    <x v="2"/>
    <x v="23"/>
    <x v="0"/>
  </r>
  <r>
    <n v="1022"/>
    <n v="1"/>
    <d v="2024-11-20T00:00:00"/>
    <s v="U345"/>
    <n v="0"/>
    <n v="16"/>
    <n v="140"/>
    <n v="186"/>
    <x v="11"/>
    <x v="0"/>
    <x v="11"/>
    <x v="0"/>
  </r>
  <r>
    <n v="1023"/>
    <n v="3"/>
    <d v="2024-11-21T00:00:00"/>
    <s v="U789"/>
    <n v="1"/>
    <n v="39"/>
    <n v="128"/>
    <n v="478"/>
    <x v="9"/>
    <x v="0"/>
    <x v="9"/>
    <x v="1"/>
  </r>
  <r>
    <n v="1024"/>
    <n v="1"/>
    <d v="2024-11-22T00:00:00"/>
    <s v="T609"/>
    <n v="0"/>
    <n v="40"/>
    <n v="172"/>
    <n v="373"/>
    <x v="7"/>
    <x v="1"/>
    <x v="7"/>
    <x v="0"/>
  </r>
  <r>
    <n v="1025"/>
    <n v="2"/>
    <d v="2024-11-23T00:00:00"/>
    <s v="U789"/>
    <n v="0"/>
    <n v="17"/>
    <n v="166"/>
    <n v="164"/>
    <x v="9"/>
    <x v="0"/>
    <x v="9"/>
    <x v="2"/>
  </r>
  <r>
    <n v="1026"/>
    <n v="2"/>
    <d v="2024-11-24T00:00:00"/>
    <s v="U834"/>
    <n v="1"/>
    <n v="13"/>
    <n v="157"/>
    <n v="310"/>
    <x v="2"/>
    <x v="1"/>
    <x v="2"/>
    <x v="2"/>
  </r>
  <r>
    <n v="1027"/>
    <n v="2"/>
    <d v="2024-11-25T00:00:00"/>
    <s v="Y092"/>
    <n v="0"/>
    <n v="20"/>
    <n v="125"/>
    <n v="223"/>
    <x v="10"/>
    <x v="2"/>
    <x v="10"/>
    <x v="2"/>
  </r>
  <r>
    <n v="1028"/>
    <n v="2"/>
    <d v="2024-11-26T00:00:00"/>
    <s v="U486"/>
    <n v="0"/>
    <n v="29"/>
    <n v="166"/>
    <n v="186"/>
    <x v="16"/>
    <x v="1"/>
    <x v="16"/>
    <x v="2"/>
  </r>
  <r>
    <n v="1029"/>
    <n v="2"/>
    <d v="2024-11-27T00:00:00"/>
    <s v="T095"/>
    <n v="1"/>
    <n v="36"/>
    <n v="175"/>
    <n v="237"/>
    <x v="8"/>
    <x v="2"/>
    <x v="8"/>
    <x v="2"/>
  </r>
  <r>
    <n v="1030"/>
    <n v="3"/>
    <d v="2024-11-28T00:00:00"/>
    <s v="U789"/>
    <n v="0"/>
    <n v="27"/>
    <n v="169"/>
    <n v="208"/>
    <x v="9"/>
    <x v="0"/>
    <x v="9"/>
    <x v="1"/>
  </r>
  <r>
    <n v="1031"/>
    <n v="3"/>
    <d v="2024-11-29T00:00:00"/>
    <s v="U345"/>
    <n v="0"/>
    <n v="23"/>
    <n v="167"/>
    <n v="292"/>
    <x v="11"/>
    <x v="0"/>
    <x v="11"/>
    <x v="1"/>
  </r>
  <r>
    <n v="1032"/>
    <n v="2"/>
    <d v="2024-11-30T00:00:00"/>
    <s v="Y983"/>
    <n v="0"/>
    <n v="22"/>
    <n v="154"/>
    <n v="488"/>
    <x v="5"/>
    <x v="2"/>
    <x v="5"/>
    <x v="2"/>
  </r>
  <r>
    <n v="1033"/>
    <n v="3"/>
    <d v="2024-12-01T00:00:00"/>
    <s v="T999"/>
    <n v="1"/>
    <n v="13"/>
    <n v="152"/>
    <n v="310"/>
    <x v="15"/>
    <x v="0"/>
    <x v="15"/>
    <x v="1"/>
  </r>
  <r>
    <n v="1034"/>
    <n v="1"/>
    <d v="2024-12-02T00:00:00"/>
    <s v="U466"/>
    <n v="1"/>
    <n v="18"/>
    <n v="130"/>
    <n v="231"/>
    <x v="23"/>
    <x v="2"/>
    <x v="23"/>
    <x v="0"/>
  </r>
  <r>
    <n v="1035"/>
    <n v="2"/>
    <d v="2024-12-03T00:00:00"/>
    <s v="U486"/>
    <n v="0"/>
    <n v="26"/>
    <n v="198"/>
    <n v="188"/>
    <x v="16"/>
    <x v="1"/>
    <x v="16"/>
    <x v="2"/>
  </r>
  <r>
    <n v="1036"/>
    <n v="1"/>
    <d v="2024-12-04T00:00:00"/>
    <s v="U834"/>
    <n v="0"/>
    <n v="23"/>
    <n v="149"/>
    <n v="419"/>
    <x v="2"/>
    <x v="1"/>
    <x v="2"/>
    <x v="0"/>
  </r>
  <r>
    <n v="1037"/>
    <n v="3"/>
    <d v="2024-12-05T00:00:00"/>
    <s v="T609"/>
    <n v="1"/>
    <n v="20"/>
    <n v="164"/>
    <n v="318"/>
    <x v="7"/>
    <x v="1"/>
    <x v="7"/>
    <x v="1"/>
  </r>
  <r>
    <n v="1038"/>
    <n v="3"/>
    <d v="2024-12-06T00:00:00"/>
    <s v="Y674"/>
    <n v="0"/>
    <n v="14"/>
    <n v="136"/>
    <n v="224"/>
    <x v="20"/>
    <x v="1"/>
    <x v="20"/>
    <x v="1"/>
  </r>
  <r>
    <n v="1039"/>
    <n v="1"/>
    <d v="2024-12-07T00:00:00"/>
    <s v="U533"/>
    <n v="0"/>
    <n v="18"/>
    <n v="163"/>
    <n v="372"/>
    <x v="21"/>
    <x v="0"/>
    <x v="21"/>
    <x v="0"/>
  </r>
  <r>
    <n v="1040"/>
    <n v="3"/>
    <d v="2024-12-08T00:00:00"/>
    <s v="T857"/>
    <n v="0"/>
    <n v="10"/>
    <n v="177"/>
    <n v="208"/>
    <x v="3"/>
    <x v="2"/>
    <x v="3"/>
    <x v="1"/>
  </r>
  <r>
    <n v="1041"/>
    <n v="2"/>
    <d v="2024-12-09T00:00:00"/>
    <s v="Y983"/>
    <n v="1"/>
    <n v="46"/>
    <n v="127"/>
    <n v="155"/>
    <x v="5"/>
    <x v="2"/>
    <x v="5"/>
    <x v="2"/>
  </r>
  <r>
    <n v="1042"/>
    <n v="1"/>
    <d v="2024-12-10T00:00:00"/>
    <s v="U533"/>
    <n v="1"/>
    <n v="23"/>
    <n v="148"/>
    <n v="172"/>
    <x v="21"/>
    <x v="0"/>
    <x v="21"/>
    <x v="0"/>
  </r>
  <r>
    <n v="1043"/>
    <n v="1"/>
    <d v="2024-12-11T00:00:00"/>
    <s v="U546"/>
    <n v="0"/>
    <n v="15"/>
    <n v="166"/>
    <n v="181"/>
    <x v="17"/>
    <x v="2"/>
    <x v="17"/>
    <x v="0"/>
  </r>
  <r>
    <n v="1044"/>
    <n v="2"/>
    <d v="2024-12-12T00:00:00"/>
    <s v="U789"/>
    <n v="0"/>
    <n v="22"/>
    <n v="162"/>
    <n v="324"/>
    <x v="9"/>
    <x v="0"/>
    <x v="9"/>
    <x v="2"/>
  </r>
  <r>
    <n v="1045"/>
    <n v="3"/>
    <d v="2024-12-13T00:00:00"/>
    <s v="U533"/>
    <n v="1"/>
    <n v="21"/>
    <n v="180"/>
    <n v="287"/>
    <x v="21"/>
    <x v="0"/>
    <x v="21"/>
    <x v="1"/>
  </r>
  <r>
    <n v="1046"/>
    <n v="1"/>
    <d v="2024-12-14T00:00:00"/>
    <s v="U834"/>
    <n v="0"/>
    <n v="10"/>
    <n v="120"/>
    <n v="123"/>
    <x v="2"/>
    <x v="1"/>
    <x v="2"/>
    <x v="0"/>
  </r>
  <r>
    <n v="1047"/>
    <n v="2"/>
    <d v="2024-12-15T00:00:00"/>
    <s v="Y674"/>
    <n v="1"/>
    <n v="20"/>
    <n v="161"/>
    <n v="216"/>
    <x v="20"/>
    <x v="1"/>
    <x v="20"/>
    <x v="2"/>
  </r>
  <r>
    <n v="1048"/>
    <n v="2"/>
    <d v="2024-12-16T00:00:00"/>
    <s v="T999"/>
    <n v="1"/>
    <n v="34"/>
    <n v="143"/>
    <n v="378"/>
    <x v="15"/>
    <x v="0"/>
    <x v="15"/>
    <x v="2"/>
  </r>
  <r>
    <n v="1049"/>
    <n v="1"/>
    <d v="2024-12-17T00:00:00"/>
    <s v="Y857"/>
    <n v="1"/>
    <n v="35"/>
    <n v="176"/>
    <n v="195"/>
    <x v="1"/>
    <x v="0"/>
    <x v="1"/>
    <x v="0"/>
  </r>
  <r>
    <n v="1050"/>
    <n v="3"/>
    <d v="2024-12-18T00:00:00"/>
    <s v="U533"/>
    <n v="0"/>
    <n v="28"/>
    <n v="167"/>
    <n v="228"/>
    <x v="21"/>
    <x v="0"/>
    <x v="21"/>
    <x v="1"/>
  </r>
  <r>
    <n v="1051"/>
    <n v="1"/>
    <d v="2024-12-19T00:00:00"/>
    <s v="Y099"/>
    <n v="0"/>
    <n v="11"/>
    <n v="171"/>
    <n v="123"/>
    <x v="18"/>
    <x v="1"/>
    <x v="18"/>
    <x v="0"/>
  </r>
  <r>
    <n v="1052"/>
    <n v="3"/>
    <d v="2024-12-20T00:00:00"/>
    <s v="U533"/>
    <n v="0"/>
    <n v="19"/>
    <n v="164"/>
    <n v="499"/>
    <x v="21"/>
    <x v="0"/>
    <x v="21"/>
    <x v="1"/>
  </r>
  <r>
    <n v="1053"/>
    <n v="3"/>
    <d v="2024-12-21T00:00:00"/>
    <s v="U546"/>
    <n v="1"/>
    <n v="19"/>
    <n v="155"/>
    <n v="436"/>
    <x v="17"/>
    <x v="2"/>
    <x v="17"/>
    <x v="1"/>
  </r>
  <r>
    <n v="1054"/>
    <n v="2"/>
    <d v="2024-12-22T00:00:00"/>
    <s v="T999"/>
    <n v="1"/>
    <n v="9"/>
    <n v="165"/>
    <n v="65"/>
    <x v="15"/>
    <x v="0"/>
    <x v="15"/>
    <x v="2"/>
  </r>
  <r>
    <n v="1055"/>
    <n v="3"/>
    <d v="2024-12-23T00:00:00"/>
    <s v="Y092"/>
    <n v="0"/>
    <n v="27"/>
    <n v="148"/>
    <n v="124"/>
    <x v="10"/>
    <x v="2"/>
    <x v="10"/>
    <x v="1"/>
  </r>
  <r>
    <n v="1056"/>
    <n v="2"/>
    <d v="2024-12-24T00:00:00"/>
    <s v="T095"/>
    <n v="0"/>
    <n v="12"/>
    <n v="168"/>
    <n v="131"/>
    <x v="8"/>
    <x v="2"/>
    <x v="8"/>
    <x v="2"/>
  </r>
  <r>
    <n v="1057"/>
    <n v="2"/>
    <d v="2024-12-25T00:00:00"/>
    <s v="Y099"/>
    <n v="0"/>
    <n v="21"/>
    <n v="168"/>
    <n v="127"/>
    <x v="18"/>
    <x v="1"/>
    <x v="18"/>
    <x v="2"/>
  </r>
  <r>
    <n v="1058"/>
    <n v="3"/>
    <d v="2024-12-26T00:00:00"/>
    <s v="T999"/>
    <n v="0"/>
    <n v="17"/>
    <n v="147"/>
    <n v="248"/>
    <x v="15"/>
    <x v="0"/>
    <x v="15"/>
    <x v="1"/>
  </r>
  <r>
    <n v="1059"/>
    <n v="1"/>
    <d v="2024-12-27T00:00:00"/>
    <s v="U486"/>
    <n v="1"/>
    <n v="38"/>
    <n v="159"/>
    <n v="248"/>
    <x v="16"/>
    <x v="1"/>
    <x v="16"/>
    <x v="0"/>
  </r>
  <r>
    <n v="1060"/>
    <n v="3"/>
    <d v="2024-12-28T00:00:00"/>
    <s v="Y784"/>
    <n v="1"/>
    <n v="33"/>
    <n v="174"/>
    <n v="298"/>
    <x v="13"/>
    <x v="1"/>
    <x v="13"/>
    <x v="1"/>
  </r>
  <r>
    <n v="1061"/>
    <n v="1"/>
    <d v="2024-12-29T00:00:00"/>
    <s v="U533"/>
    <n v="1"/>
    <n v="25"/>
    <n v="152"/>
    <n v="142"/>
    <x v="21"/>
    <x v="0"/>
    <x v="21"/>
    <x v="0"/>
  </r>
  <r>
    <n v="1062"/>
    <n v="1"/>
    <d v="2024-12-30T00:00:00"/>
    <s v="U466"/>
    <n v="1"/>
    <n v="44"/>
    <n v="211"/>
    <n v="277"/>
    <x v="23"/>
    <x v="2"/>
    <x v="23"/>
    <x v="0"/>
  </r>
  <r>
    <n v="1063"/>
    <n v="3"/>
    <d v="2024-12-31T00:00:00"/>
    <s v="Y674"/>
    <n v="1"/>
    <n v="16"/>
    <n v="155"/>
    <n v="374"/>
    <x v="20"/>
    <x v="1"/>
    <x v="20"/>
    <x v="1"/>
  </r>
  <r>
    <n v="1064"/>
    <n v="1"/>
    <d v="2025-01-01T00:00:00"/>
    <s v="T609"/>
    <n v="0"/>
    <n v="9"/>
    <n v="171"/>
    <n v="121"/>
    <x v="7"/>
    <x v="1"/>
    <x v="7"/>
    <x v="0"/>
  </r>
  <r>
    <n v="1065"/>
    <n v="3"/>
    <d v="2025-01-02T00:00:00"/>
    <s v="Y092"/>
    <n v="0"/>
    <n v="24"/>
    <n v="160"/>
    <n v="114"/>
    <x v="10"/>
    <x v="2"/>
    <x v="10"/>
    <x v="1"/>
  </r>
  <r>
    <n v="1066"/>
    <n v="3"/>
    <d v="2025-01-03T00:00:00"/>
    <s v="Y784"/>
    <n v="1"/>
    <n v="27"/>
    <n v="159"/>
    <n v="123"/>
    <x v="13"/>
    <x v="1"/>
    <x v="13"/>
    <x v="1"/>
  </r>
  <r>
    <n v="1067"/>
    <n v="2"/>
    <d v="2025-01-04T00:00:00"/>
    <s v="U486"/>
    <n v="0"/>
    <n v="24"/>
    <n v="177"/>
    <n v="174"/>
    <x v="16"/>
    <x v="1"/>
    <x v="16"/>
    <x v="2"/>
  </r>
  <r>
    <n v="1068"/>
    <n v="3"/>
    <d v="2025-01-05T00:00:00"/>
    <s v="U092"/>
    <n v="0"/>
    <n v="60"/>
    <n v="182"/>
    <n v="300"/>
    <x v="14"/>
    <x v="0"/>
    <x v="14"/>
    <x v="1"/>
  </r>
  <r>
    <n v="1069"/>
    <n v="1"/>
    <d v="2025-01-06T00:00:00"/>
    <s v="U345"/>
    <n v="0"/>
    <n v="48"/>
    <n v="176"/>
    <n v="233"/>
    <x v="11"/>
    <x v="0"/>
    <x v="11"/>
    <x v="0"/>
  </r>
  <r>
    <n v="1070"/>
    <n v="3"/>
    <d v="2025-01-07T00:00:00"/>
    <s v="Y983"/>
    <n v="0"/>
    <n v="27"/>
    <n v="161"/>
    <n v="580"/>
    <x v="5"/>
    <x v="2"/>
    <x v="5"/>
    <x v="1"/>
  </r>
  <r>
    <n v="1071"/>
    <n v="2"/>
    <d v="2025-01-08T00:00:00"/>
    <s v="T367"/>
    <n v="0"/>
    <n v="19"/>
    <n v="179"/>
    <n v="164"/>
    <x v="19"/>
    <x v="2"/>
    <x v="19"/>
    <x v="2"/>
  </r>
  <r>
    <n v="1072"/>
    <n v="1"/>
    <d v="2025-01-09T00:00:00"/>
    <s v="T999"/>
    <n v="1"/>
    <n v="30"/>
    <n v="195"/>
    <n v="385"/>
    <x v="15"/>
    <x v="0"/>
    <x v="15"/>
    <x v="0"/>
  </r>
  <r>
    <n v="1073"/>
    <n v="1"/>
    <d v="2025-01-10T00:00:00"/>
    <s v="U345"/>
    <n v="1"/>
    <n v="27"/>
    <n v="176"/>
    <n v="232"/>
    <x v="11"/>
    <x v="0"/>
    <x v="11"/>
    <x v="0"/>
  </r>
  <r>
    <n v="1074"/>
    <n v="3"/>
    <d v="2025-01-11T00:00:00"/>
    <s v="Y092"/>
    <n v="1"/>
    <n v="29"/>
    <n v="136"/>
    <n v="261"/>
    <x v="10"/>
    <x v="2"/>
    <x v="10"/>
    <x v="1"/>
  </r>
  <r>
    <n v="1075"/>
    <n v="2"/>
    <d v="2025-01-12T00:00:00"/>
    <s v="T857"/>
    <n v="0"/>
    <n v="12"/>
    <n v="100"/>
    <n v="106"/>
    <x v="3"/>
    <x v="2"/>
    <x v="3"/>
    <x v="2"/>
  </r>
  <r>
    <n v="1076"/>
    <n v="1"/>
    <d v="2025-01-13T00:00:00"/>
    <s v="T095"/>
    <n v="0"/>
    <n v="10"/>
    <n v="100"/>
    <n v="131"/>
    <x v="8"/>
    <x v="2"/>
    <x v="8"/>
    <x v="0"/>
  </r>
  <r>
    <n v="1077"/>
    <n v="2"/>
    <d v="2025-01-14T00:00:00"/>
    <s v="U109"/>
    <n v="1"/>
    <n v="23"/>
    <n v="96"/>
    <n v="184"/>
    <x v="6"/>
    <x v="1"/>
    <x v="6"/>
    <x v="2"/>
  </r>
  <r>
    <n v="1078"/>
    <n v="2"/>
    <d v="2025-01-15T00:00:00"/>
    <s v="Y674"/>
    <n v="0"/>
    <n v="21"/>
    <n v="199"/>
    <n v="392"/>
    <x v="20"/>
    <x v="1"/>
    <x v="20"/>
    <x v="2"/>
  </r>
  <r>
    <n v="1079"/>
    <n v="1"/>
    <d v="2025-01-16T00:00:00"/>
    <s v="Y847"/>
    <n v="0"/>
    <n v="13"/>
    <n v="200"/>
    <n v="243"/>
    <x v="4"/>
    <x v="0"/>
    <x v="4"/>
    <x v="0"/>
  </r>
  <r>
    <n v="1080"/>
    <n v="3"/>
    <d v="2025-01-17T00:00:00"/>
    <s v="U486"/>
    <n v="1"/>
    <n v="14"/>
    <n v="208"/>
    <n v="199"/>
    <x v="16"/>
    <x v="1"/>
    <x v="16"/>
    <x v="1"/>
  </r>
  <r>
    <n v="1081"/>
    <n v="2"/>
    <d v="2025-01-18T00:00:00"/>
    <s v="U533"/>
    <n v="0"/>
    <n v="10"/>
    <n v="183"/>
    <n v="348"/>
    <x v="21"/>
    <x v="0"/>
    <x v="21"/>
    <x v="2"/>
  </r>
  <r>
    <n v="1082"/>
    <n v="2"/>
    <d v="2025-01-19T00:00:00"/>
    <s v="Y784"/>
    <n v="0"/>
    <n v="16"/>
    <n v="187"/>
    <n v="323"/>
    <x v="13"/>
    <x v="1"/>
    <x v="13"/>
    <x v="2"/>
  </r>
  <r>
    <n v="1083"/>
    <n v="3"/>
    <d v="2025-01-20T00:00:00"/>
    <s v="Y092"/>
    <n v="1"/>
    <n v="21"/>
    <n v="221"/>
    <n v="192"/>
    <x v="10"/>
    <x v="2"/>
    <x v="10"/>
    <x v="1"/>
  </r>
  <r>
    <n v="1084"/>
    <n v="3"/>
    <d v="2025-01-21T00:00:00"/>
    <s v="U466"/>
    <n v="0"/>
    <n v="21"/>
    <n v="115"/>
    <n v="226"/>
    <x v="23"/>
    <x v="2"/>
    <x v="23"/>
    <x v="1"/>
  </r>
  <r>
    <n v="1085"/>
    <n v="1"/>
    <d v="2025-01-22T00:00:00"/>
    <s v="U533"/>
    <n v="0"/>
    <n v="13"/>
    <n v="185"/>
    <n v="116"/>
    <x v="21"/>
    <x v="0"/>
    <x v="21"/>
    <x v="0"/>
  </r>
  <r>
    <n v="1086"/>
    <n v="1"/>
    <d v="2025-01-23T00:00:00"/>
    <s v="U789"/>
    <n v="1"/>
    <n v="16"/>
    <n v="184"/>
    <n v="229"/>
    <x v="9"/>
    <x v="0"/>
    <x v="9"/>
    <x v="0"/>
  </r>
  <r>
    <n v="1087"/>
    <n v="3"/>
    <d v="2025-01-24T00:00:00"/>
    <s v="Y099"/>
    <n v="1"/>
    <n v="12"/>
    <n v="186"/>
    <n v="269"/>
    <x v="18"/>
    <x v="1"/>
    <x v="18"/>
    <x v="1"/>
  </r>
  <r>
    <n v="1088"/>
    <n v="2"/>
    <d v="2025-01-25T00:00:00"/>
    <s v="U546"/>
    <n v="1"/>
    <n v="12"/>
    <n v="194"/>
    <n v="173"/>
    <x v="17"/>
    <x v="2"/>
    <x v="17"/>
    <x v="2"/>
  </r>
  <r>
    <n v="1089"/>
    <n v="3"/>
    <d v="2025-01-26T00:00:00"/>
    <s v="U533"/>
    <n v="0"/>
    <n v="22"/>
    <n v="179"/>
    <n v="186"/>
    <x v="21"/>
    <x v="0"/>
    <x v="21"/>
    <x v="1"/>
  </r>
  <r>
    <n v="1090"/>
    <n v="1"/>
    <d v="2025-01-27T00:00:00"/>
    <s v="T857"/>
    <n v="0"/>
    <n v="13"/>
    <n v="183"/>
    <n v="89"/>
    <x v="3"/>
    <x v="2"/>
    <x v="3"/>
    <x v="0"/>
  </r>
  <r>
    <n v="1091"/>
    <n v="3"/>
    <d v="2025-01-28T00:00:00"/>
    <s v="Y099"/>
    <n v="0"/>
    <n v="13"/>
    <n v="182"/>
    <n v="117"/>
    <x v="18"/>
    <x v="1"/>
    <x v="18"/>
    <x v="1"/>
  </r>
  <r>
    <n v="1092"/>
    <n v="3"/>
    <d v="2025-01-29T00:00:00"/>
    <s v="T095"/>
    <n v="1"/>
    <n v="14"/>
    <n v="194"/>
    <n v="222"/>
    <x v="8"/>
    <x v="2"/>
    <x v="8"/>
    <x v="1"/>
  </r>
  <r>
    <n v="1093"/>
    <n v="1"/>
    <d v="2025-01-30T00:00:00"/>
    <s v="Y857"/>
    <n v="1"/>
    <n v="11"/>
    <n v="181"/>
    <n v="116"/>
    <x v="1"/>
    <x v="0"/>
    <x v="1"/>
    <x v="0"/>
  </r>
  <r>
    <n v="1094"/>
    <n v="3"/>
    <d v="2025-01-31T00:00:00"/>
    <s v="Y099"/>
    <n v="0"/>
    <n v="5"/>
    <n v="179"/>
    <n v="73"/>
    <x v="18"/>
    <x v="1"/>
    <x v="18"/>
    <x v="1"/>
  </r>
  <r>
    <n v="1095"/>
    <n v="2"/>
    <d v="2025-02-01T00:00:00"/>
    <s v="Y847"/>
    <n v="1"/>
    <n v="11"/>
    <n v="176"/>
    <n v="174"/>
    <x v="4"/>
    <x v="0"/>
    <x v="4"/>
    <x v="2"/>
  </r>
  <r>
    <n v="1096"/>
    <n v="1"/>
    <d v="2025-02-02T00:00:00"/>
    <s v="Y847"/>
    <n v="1"/>
    <n v="19"/>
    <n v="184"/>
    <n v="186"/>
    <x v="4"/>
    <x v="0"/>
    <x v="4"/>
    <x v="0"/>
  </r>
  <r>
    <n v="1097"/>
    <n v="1"/>
    <d v="2025-02-03T00:00:00"/>
    <s v="U486"/>
    <n v="1"/>
    <n v="11"/>
    <n v="177"/>
    <n v="58"/>
    <x v="16"/>
    <x v="1"/>
    <x v="16"/>
    <x v="0"/>
  </r>
  <r>
    <n v="1098"/>
    <n v="2"/>
    <d v="2025-02-04T00:00:00"/>
    <s v="T095"/>
    <n v="1"/>
    <n v="11"/>
    <n v="182"/>
    <n v="201"/>
    <x v="8"/>
    <x v="2"/>
    <x v="8"/>
    <x v="2"/>
  </r>
  <r>
    <n v="1099"/>
    <n v="2"/>
    <d v="2025-02-05T00:00:00"/>
    <s v="T999"/>
    <n v="1"/>
    <n v="11"/>
    <n v="171"/>
    <n v="145"/>
    <x v="15"/>
    <x v="0"/>
    <x v="15"/>
    <x v="2"/>
  </r>
  <r>
    <n v="1100"/>
    <n v="1"/>
    <d v="2025-02-06T00:00:00"/>
    <s v="U486"/>
    <n v="1"/>
    <n v="11"/>
    <n v="156"/>
    <n v="218"/>
    <x v="16"/>
    <x v="1"/>
    <x v="16"/>
    <x v="0"/>
  </r>
  <r>
    <n v="1101"/>
    <n v="1"/>
    <d v="2025-02-07T00:00:00"/>
    <s v="Y857"/>
    <n v="0"/>
    <n v="7"/>
    <n v="183"/>
    <n v="60"/>
    <x v="1"/>
    <x v="0"/>
    <x v="1"/>
    <x v="0"/>
  </r>
  <r>
    <n v="1102"/>
    <n v="2"/>
    <d v="2025-02-08T00:00:00"/>
    <s v="U345"/>
    <n v="1"/>
    <n v="8"/>
    <n v="186"/>
    <n v="72"/>
    <x v="11"/>
    <x v="0"/>
    <x v="11"/>
    <x v="2"/>
  </r>
  <r>
    <n v="1103"/>
    <n v="1"/>
    <d v="2025-02-09T00:00:00"/>
    <s v="Y847"/>
    <n v="1"/>
    <n v="17"/>
    <n v="189"/>
    <n v="174"/>
    <x v="4"/>
    <x v="0"/>
    <x v="4"/>
    <x v="0"/>
  </r>
  <r>
    <n v="1104"/>
    <n v="1"/>
    <d v="2025-02-10T00:00:00"/>
    <s v="U533"/>
    <n v="1"/>
    <n v="5"/>
    <n v="165"/>
    <n v="116"/>
    <x v="21"/>
    <x v="0"/>
    <x v="21"/>
    <x v="0"/>
  </r>
  <r>
    <n v="1105"/>
    <n v="2"/>
    <d v="2025-02-11T00:00:00"/>
    <s v="Y674"/>
    <n v="1"/>
    <n v="11"/>
    <n v="162"/>
    <n v="118"/>
    <x v="20"/>
    <x v="1"/>
    <x v="20"/>
    <x v="2"/>
  </r>
  <r>
    <n v="1106"/>
    <n v="1"/>
    <d v="2025-02-12T00:00:00"/>
    <s v="Y674"/>
    <n v="1"/>
    <n v="28"/>
    <n v="151"/>
    <n v="148"/>
    <x v="20"/>
    <x v="1"/>
    <x v="20"/>
    <x v="0"/>
  </r>
  <r>
    <n v="1107"/>
    <n v="1"/>
    <d v="2025-02-13T00:00:00"/>
    <s v="Y857"/>
    <n v="0"/>
    <n v="27"/>
    <n v="146"/>
    <n v="401"/>
    <x v="1"/>
    <x v="0"/>
    <x v="1"/>
    <x v="0"/>
  </r>
  <r>
    <n v="1108"/>
    <n v="3"/>
    <d v="2025-02-14T00:00:00"/>
    <s v="T244"/>
    <n v="1"/>
    <n v="13"/>
    <n v="170"/>
    <n v="174"/>
    <x v="0"/>
    <x v="0"/>
    <x v="0"/>
    <x v="1"/>
  </r>
  <r>
    <n v="1109"/>
    <n v="3"/>
    <d v="2025-02-15T00:00:00"/>
    <s v="U092"/>
    <n v="0"/>
    <n v="21"/>
    <n v="176"/>
    <n v="179"/>
    <x v="14"/>
    <x v="0"/>
    <x v="14"/>
    <x v="1"/>
  </r>
  <r>
    <n v="1110"/>
    <n v="1"/>
    <d v="2025-02-16T00:00:00"/>
    <s v="U345"/>
    <n v="1"/>
    <n v="28"/>
    <n v="169"/>
    <n v="178"/>
    <x v="11"/>
    <x v="0"/>
    <x v="11"/>
    <x v="0"/>
  </r>
  <r>
    <n v="1111"/>
    <n v="2"/>
    <d v="2025-02-17T00:00:00"/>
    <s v="T857"/>
    <n v="0"/>
    <n v="24"/>
    <n v="175"/>
    <n v="128"/>
    <x v="3"/>
    <x v="2"/>
    <x v="3"/>
    <x v="2"/>
  </r>
  <r>
    <n v="1112"/>
    <n v="3"/>
    <d v="2025-02-18T00:00:00"/>
    <s v="Y847"/>
    <n v="0"/>
    <n v="21"/>
    <n v="169"/>
    <n v="210"/>
    <x v="4"/>
    <x v="0"/>
    <x v="4"/>
    <x v="1"/>
  </r>
  <r>
    <n v="1113"/>
    <n v="3"/>
    <d v="2025-02-19T00:00:00"/>
    <s v="T095"/>
    <n v="1"/>
    <n v="9"/>
    <n v="163"/>
    <n v="130"/>
    <x v="8"/>
    <x v="2"/>
    <x v="8"/>
    <x v="1"/>
  </r>
  <r>
    <n v="1114"/>
    <n v="3"/>
    <d v="2025-02-20T00:00:00"/>
    <s v="T999"/>
    <n v="1"/>
    <n v="17"/>
    <n v="178"/>
    <n v="214"/>
    <x v="15"/>
    <x v="0"/>
    <x v="15"/>
    <x v="1"/>
  </r>
  <r>
    <n v="1115"/>
    <n v="3"/>
    <d v="2025-02-21T00:00:00"/>
    <s v="Y674"/>
    <n v="0"/>
    <n v="22"/>
    <n v="190"/>
    <n v="492"/>
    <x v="20"/>
    <x v="1"/>
    <x v="20"/>
    <x v="1"/>
  </r>
  <r>
    <n v="1116"/>
    <n v="1"/>
    <d v="2025-02-22T00:00:00"/>
    <s v="U109"/>
    <n v="1"/>
    <n v="14"/>
    <n v="180"/>
    <n v="232"/>
    <x v="6"/>
    <x v="1"/>
    <x v="6"/>
    <x v="0"/>
  </r>
  <r>
    <n v="1117"/>
    <n v="2"/>
    <d v="2025-02-23T00:00:00"/>
    <s v="Y092"/>
    <n v="0"/>
    <n v="12"/>
    <n v="157"/>
    <n v="105"/>
    <x v="10"/>
    <x v="2"/>
    <x v="10"/>
    <x v="2"/>
  </r>
  <r>
    <n v="1118"/>
    <n v="2"/>
    <d v="2025-02-24T00:00:00"/>
    <s v="Y092"/>
    <n v="1"/>
    <n v="13"/>
    <n v="135"/>
    <n v="68"/>
    <x v="10"/>
    <x v="2"/>
    <x v="10"/>
    <x v="2"/>
  </r>
  <r>
    <n v="1119"/>
    <n v="1"/>
    <d v="2025-02-25T00:00:00"/>
    <s v="T857"/>
    <n v="0"/>
    <n v="9"/>
    <n v="181"/>
    <n v="102"/>
    <x v="3"/>
    <x v="2"/>
    <x v="3"/>
    <x v="0"/>
  </r>
  <r>
    <n v="1120"/>
    <n v="2"/>
    <d v="2025-02-26T00:00:00"/>
    <s v="T367"/>
    <n v="1"/>
    <n v="10"/>
    <n v="128"/>
    <n v="116"/>
    <x v="19"/>
    <x v="2"/>
    <x v="19"/>
    <x v="2"/>
  </r>
  <r>
    <n v="1121"/>
    <n v="2"/>
    <d v="2025-02-27T00:00:00"/>
    <s v="U092"/>
    <n v="0"/>
    <n v="7"/>
    <n v="164"/>
    <n v="116"/>
    <x v="14"/>
    <x v="0"/>
    <x v="14"/>
    <x v="2"/>
  </r>
  <r>
    <n v="1122"/>
    <n v="2"/>
    <d v="2025-02-28T00:00:00"/>
    <s v="Y341"/>
    <n v="1"/>
    <n v="14"/>
    <n v="179"/>
    <n v="175"/>
    <x v="24"/>
    <x v="2"/>
    <x v="24"/>
    <x v="2"/>
  </r>
  <r>
    <n v="1123"/>
    <n v="3"/>
    <d v="2025-03-01T00:00:00"/>
    <s v="U466"/>
    <n v="1"/>
    <n v="6"/>
    <n v="162"/>
    <n v="115"/>
    <x v="23"/>
    <x v="2"/>
    <x v="23"/>
    <x v="1"/>
  </r>
  <r>
    <n v="1124"/>
    <n v="1"/>
    <d v="2025-03-02T00:00:00"/>
    <s v="T562"/>
    <n v="0"/>
    <n v="12"/>
    <n v="177"/>
    <n v="96"/>
    <x v="22"/>
    <x v="1"/>
    <x v="22"/>
    <x v="0"/>
  </r>
  <r>
    <n v="1125"/>
    <n v="2"/>
    <d v="2025-03-03T00:00:00"/>
    <s v="Y857"/>
    <n v="0"/>
    <n v="12"/>
    <n v="187"/>
    <n v="94"/>
    <x v="1"/>
    <x v="0"/>
    <x v="1"/>
    <x v="2"/>
  </r>
  <r>
    <n v="1126"/>
    <n v="1"/>
    <d v="2025-03-04T00:00:00"/>
    <s v="Y857"/>
    <n v="0"/>
    <n v="7"/>
    <n v="166"/>
    <n v="84"/>
    <x v="1"/>
    <x v="0"/>
    <x v="1"/>
    <x v="0"/>
  </r>
  <r>
    <n v="1127"/>
    <n v="1"/>
    <d v="2025-03-05T00:00:00"/>
    <s v="Y847"/>
    <n v="1"/>
    <n v="26"/>
    <n v="160"/>
    <n v="211"/>
    <x v="4"/>
    <x v="0"/>
    <x v="4"/>
    <x v="0"/>
  </r>
  <r>
    <n v="1128"/>
    <n v="2"/>
    <d v="2025-03-06T00:00:00"/>
    <s v="U345"/>
    <n v="0"/>
    <n v="6"/>
    <n v="124"/>
    <n v="232"/>
    <x v="11"/>
    <x v="0"/>
    <x v="11"/>
    <x v="2"/>
  </r>
  <r>
    <n v="1129"/>
    <n v="2"/>
    <d v="2025-03-07T00:00:00"/>
    <s v="U546"/>
    <n v="1"/>
    <n v="5"/>
    <n v="133"/>
    <n v="65"/>
    <x v="17"/>
    <x v="2"/>
    <x v="17"/>
    <x v="2"/>
  </r>
  <r>
    <n v="1130"/>
    <n v="3"/>
    <d v="2025-03-08T00:00:00"/>
    <s v="U486"/>
    <n v="1"/>
    <n v="19"/>
    <n v="135"/>
    <n v="290"/>
    <x v="16"/>
    <x v="1"/>
    <x v="16"/>
    <x v="1"/>
  </r>
  <r>
    <n v="1131"/>
    <n v="3"/>
    <d v="2025-03-09T00:00:00"/>
    <s v="U834"/>
    <n v="1"/>
    <n v="15"/>
    <n v="160"/>
    <n v="117"/>
    <x v="2"/>
    <x v="1"/>
    <x v="2"/>
    <x v="1"/>
  </r>
  <r>
    <n v="1132"/>
    <n v="3"/>
    <d v="2025-03-10T00:00:00"/>
    <s v="Y674"/>
    <n v="1"/>
    <n v="18"/>
    <n v="181"/>
    <n v="128"/>
    <x v="20"/>
    <x v="1"/>
    <x v="20"/>
    <x v="1"/>
  </r>
  <r>
    <n v="1133"/>
    <n v="1"/>
    <d v="2025-03-11T00:00:00"/>
    <s v="U466"/>
    <n v="1"/>
    <n v="19"/>
    <n v="163"/>
    <n v="273"/>
    <x v="23"/>
    <x v="2"/>
    <x v="23"/>
    <x v="0"/>
  </r>
  <r>
    <n v="1134"/>
    <n v="1"/>
    <d v="2025-03-12T00:00:00"/>
    <s v="T609"/>
    <n v="0"/>
    <n v="13"/>
    <n v="162"/>
    <n v="208"/>
    <x v="7"/>
    <x v="1"/>
    <x v="7"/>
    <x v="0"/>
  </r>
  <r>
    <n v="1135"/>
    <n v="3"/>
    <d v="2025-03-13T00:00:00"/>
    <s v="T367"/>
    <n v="1"/>
    <n v="10"/>
    <n v="149"/>
    <n v="102"/>
    <x v="19"/>
    <x v="2"/>
    <x v="19"/>
    <x v="1"/>
  </r>
  <r>
    <n v="1136"/>
    <n v="1"/>
    <d v="2025-03-14T00:00:00"/>
    <s v="U486"/>
    <n v="0"/>
    <n v="10"/>
    <n v="161"/>
    <n v="174"/>
    <x v="16"/>
    <x v="1"/>
    <x v="16"/>
    <x v="0"/>
  </r>
  <r>
    <n v="1137"/>
    <n v="3"/>
    <d v="2025-03-15T00:00:00"/>
    <s v="T562"/>
    <n v="1"/>
    <n v="3"/>
    <n v="161"/>
    <n v="115"/>
    <x v="22"/>
    <x v="1"/>
    <x v="22"/>
    <x v="1"/>
  </r>
  <r>
    <n v="1138"/>
    <n v="2"/>
    <d v="2025-03-16T00:00:00"/>
    <s v="U533"/>
    <n v="0"/>
    <n v="19"/>
    <n v="147"/>
    <n v="464"/>
    <x v="21"/>
    <x v="0"/>
    <x v="21"/>
    <x v="2"/>
  </r>
  <r>
    <n v="1139"/>
    <n v="1"/>
    <d v="2025-03-17T00:00:00"/>
    <s v="T609"/>
    <n v="1"/>
    <n v="8"/>
    <n v="120"/>
    <n v="46"/>
    <x v="7"/>
    <x v="1"/>
    <x v="7"/>
    <x v="0"/>
  </r>
  <r>
    <n v="1140"/>
    <n v="3"/>
    <d v="2025-03-18T00:00:00"/>
    <s v="U789"/>
    <n v="0"/>
    <n v="13"/>
    <n v="155"/>
    <n v="174"/>
    <x v="9"/>
    <x v="0"/>
    <x v="9"/>
    <x v="1"/>
  </r>
  <r>
    <n v="1141"/>
    <n v="2"/>
    <d v="2025-03-19T00:00:00"/>
    <s v="T857"/>
    <n v="0"/>
    <n v="15"/>
    <n v="180"/>
    <n v="210"/>
    <x v="3"/>
    <x v="2"/>
    <x v="3"/>
    <x v="2"/>
  </r>
  <r>
    <n v="1142"/>
    <n v="2"/>
    <d v="2025-03-20T00:00:00"/>
    <s v="Y784"/>
    <n v="0"/>
    <n v="13"/>
    <n v="175"/>
    <n v="118"/>
    <x v="13"/>
    <x v="1"/>
    <x v="13"/>
    <x v="2"/>
  </r>
  <r>
    <n v="1143"/>
    <n v="1"/>
    <d v="2025-03-21T00:00:00"/>
    <s v="T999"/>
    <n v="0"/>
    <n v="7"/>
    <n v="171"/>
    <n v="100"/>
    <x v="15"/>
    <x v="0"/>
    <x v="15"/>
    <x v="0"/>
  </r>
  <r>
    <n v="1144"/>
    <n v="3"/>
    <d v="2025-03-22T00:00:00"/>
    <s v="Y674"/>
    <n v="1"/>
    <n v="23"/>
    <n v="175"/>
    <n v="154"/>
    <x v="20"/>
    <x v="1"/>
    <x v="20"/>
    <x v="1"/>
  </r>
  <r>
    <n v="1145"/>
    <n v="2"/>
    <d v="2025-03-23T00:00:00"/>
    <s v="Y092"/>
    <n v="0"/>
    <n v="24"/>
    <n v="163"/>
    <n v="304"/>
    <x v="10"/>
    <x v="2"/>
    <x v="10"/>
    <x v="2"/>
  </r>
  <r>
    <n v="1146"/>
    <n v="1"/>
    <d v="2025-03-24T00:00:00"/>
    <s v="U546"/>
    <n v="0"/>
    <n v="5"/>
    <n v="166"/>
    <n v="51"/>
    <x v="17"/>
    <x v="2"/>
    <x v="17"/>
    <x v="0"/>
  </r>
  <r>
    <n v="1147"/>
    <n v="2"/>
    <d v="2025-03-25T00:00:00"/>
    <s v="T609"/>
    <n v="1"/>
    <n v="11"/>
    <n v="172"/>
    <n v="156"/>
    <x v="7"/>
    <x v="1"/>
    <x v="7"/>
    <x v="2"/>
  </r>
  <r>
    <n v="1148"/>
    <n v="2"/>
    <d v="2025-03-26T00:00:00"/>
    <s v="Y857"/>
    <n v="0"/>
    <n v="14"/>
    <n v="174"/>
    <n v="221"/>
    <x v="1"/>
    <x v="0"/>
    <x v="1"/>
    <x v="2"/>
  </r>
  <r>
    <n v="1149"/>
    <n v="2"/>
    <d v="2025-03-27T00:00:00"/>
    <s v="Y784"/>
    <n v="0"/>
    <n v="5"/>
    <n v="168"/>
    <n v="64"/>
    <x v="13"/>
    <x v="1"/>
    <x v="13"/>
    <x v="2"/>
  </r>
  <r>
    <n v="1150"/>
    <n v="3"/>
    <d v="2025-03-28T00:00:00"/>
    <s v="U092"/>
    <n v="1"/>
    <n v="10"/>
    <n v="153"/>
    <n v="204"/>
    <x v="14"/>
    <x v="0"/>
    <x v="14"/>
    <x v="1"/>
  </r>
  <r>
    <n v="1151"/>
    <n v="3"/>
    <d v="2025-03-29T00:00:00"/>
    <s v="Y341"/>
    <n v="0"/>
    <n v="11"/>
    <n v="170"/>
    <n v="109"/>
    <x v="24"/>
    <x v="2"/>
    <x v="24"/>
    <x v="1"/>
  </r>
  <r>
    <n v="1152"/>
    <n v="2"/>
    <d v="2025-03-30T00:00:00"/>
    <s v="U109"/>
    <n v="0"/>
    <n v="13"/>
    <n v="167"/>
    <n v="224"/>
    <x v="6"/>
    <x v="1"/>
    <x v="6"/>
    <x v="2"/>
  </r>
  <r>
    <n v="1153"/>
    <n v="1"/>
    <d v="2025-03-31T00:00:00"/>
    <s v="Y092"/>
    <n v="1"/>
    <n v="9"/>
    <n v="153"/>
    <n v="232"/>
    <x v="10"/>
    <x v="2"/>
    <x v="10"/>
    <x v="0"/>
  </r>
  <r>
    <n v="1154"/>
    <n v="3"/>
    <d v="2025-04-01T00:00:00"/>
    <s v="T367"/>
    <n v="0"/>
    <n v="19"/>
    <n v="186"/>
    <n v="174"/>
    <x v="19"/>
    <x v="2"/>
    <x v="19"/>
    <x v="1"/>
  </r>
  <r>
    <n v="1155"/>
    <n v="2"/>
    <d v="2025-04-02T00:00:00"/>
    <s v="U092"/>
    <n v="0"/>
    <n v="6"/>
    <n v="185"/>
    <n v="109"/>
    <x v="14"/>
    <x v="0"/>
    <x v="14"/>
    <x v="2"/>
  </r>
  <r>
    <n v="1156"/>
    <n v="1"/>
    <d v="2025-04-03T00:00:00"/>
    <s v="U466"/>
    <n v="1"/>
    <n v="5"/>
    <n v="175"/>
    <n v="196"/>
    <x v="23"/>
    <x v="2"/>
    <x v="23"/>
    <x v="0"/>
  </r>
  <r>
    <n v="1157"/>
    <n v="3"/>
    <d v="2025-04-04T00:00:00"/>
    <s v="T857"/>
    <n v="0"/>
    <n v="9"/>
    <n v="166"/>
    <n v="218"/>
    <x v="3"/>
    <x v="2"/>
    <x v="3"/>
    <x v="1"/>
  </r>
  <r>
    <n v="1158"/>
    <n v="3"/>
    <d v="2025-04-05T00:00:00"/>
    <s v="U345"/>
    <n v="0"/>
    <n v="26"/>
    <n v="196"/>
    <n v="164"/>
    <x v="11"/>
    <x v="0"/>
    <x v="11"/>
    <x v="1"/>
  </r>
  <r>
    <n v="1159"/>
    <n v="2"/>
    <d v="2025-04-06T00:00:00"/>
    <s v="Y341"/>
    <n v="1"/>
    <n v="27"/>
    <n v="184"/>
    <n v="284"/>
    <x v="24"/>
    <x v="2"/>
    <x v="24"/>
    <x v="2"/>
  </r>
  <r>
    <n v="1160"/>
    <n v="2"/>
    <d v="2025-04-07T00:00:00"/>
    <s v="T609"/>
    <n v="1"/>
    <n v="6"/>
    <n v="163"/>
    <n v="70"/>
    <x v="7"/>
    <x v="1"/>
    <x v="7"/>
    <x v="2"/>
  </r>
  <r>
    <n v="1161"/>
    <n v="3"/>
    <d v="2025-04-08T00:00:00"/>
    <s v="T857"/>
    <n v="1"/>
    <n v="12"/>
    <n v="172"/>
    <n v="120"/>
    <x v="3"/>
    <x v="2"/>
    <x v="3"/>
    <x v="1"/>
  </r>
  <r>
    <n v="1162"/>
    <n v="3"/>
    <d v="2025-04-09T00:00:00"/>
    <s v="U486"/>
    <n v="1"/>
    <n v="8"/>
    <n v="163"/>
    <n v="154"/>
    <x v="16"/>
    <x v="1"/>
    <x v="16"/>
    <x v="1"/>
  </r>
  <r>
    <n v="1163"/>
    <n v="2"/>
    <d v="2025-04-10T00:00:00"/>
    <s v="Y099"/>
    <n v="1"/>
    <n v="7"/>
    <n v="173"/>
    <n v="228"/>
    <x v="18"/>
    <x v="1"/>
    <x v="18"/>
    <x v="2"/>
  </r>
  <r>
    <n v="1164"/>
    <n v="3"/>
    <d v="2025-04-11T00:00:00"/>
    <s v="Y857"/>
    <n v="1"/>
    <n v="8"/>
    <n v="163"/>
    <n v="214"/>
    <x v="1"/>
    <x v="0"/>
    <x v="1"/>
    <x v="1"/>
  </r>
  <r>
    <n v="1165"/>
    <n v="1"/>
    <d v="2025-04-12T00:00:00"/>
    <s v="T244"/>
    <n v="1"/>
    <n v="6"/>
    <n v="164"/>
    <n v="103"/>
    <x v="0"/>
    <x v="0"/>
    <x v="0"/>
    <x v="0"/>
  </r>
  <r>
    <n v="1166"/>
    <n v="3"/>
    <d v="2025-04-13T00:00:00"/>
    <s v="T095"/>
    <n v="1"/>
    <n v="9"/>
    <n v="156"/>
    <n v="119"/>
    <x v="8"/>
    <x v="2"/>
    <x v="8"/>
    <x v="1"/>
  </r>
  <r>
    <n v="1167"/>
    <n v="2"/>
    <d v="2025-04-14T00:00:00"/>
    <s v="U092"/>
    <n v="0"/>
    <n v="9"/>
    <n v="147"/>
    <n v="93"/>
    <x v="14"/>
    <x v="0"/>
    <x v="14"/>
    <x v="2"/>
  </r>
  <r>
    <n v="1168"/>
    <n v="2"/>
    <d v="2025-04-15T00:00:00"/>
    <s v="U546"/>
    <n v="1"/>
    <n v="9"/>
    <n v="158"/>
    <n v="174"/>
    <x v="17"/>
    <x v="2"/>
    <x v="17"/>
    <x v="2"/>
  </r>
  <r>
    <n v="1169"/>
    <n v="1"/>
    <d v="2025-04-16T00:00:00"/>
    <s v="Y674"/>
    <n v="0"/>
    <n v="10"/>
    <n v="158"/>
    <n v="302"/>
    <x v="20"/>
    <x v="1"/>
    <x v="20"/>
    <x v="0"/>
  </r>
  <r>
    <n v="1170"/>
    <n v="1"/>
    <d v="2025-04-17T00:00:00"/>
    <s v="T857"/>
    <n v="1"/>
    <n v="4"/>
    <n v="156"/>
    <n v="173"/>
    <x v="3"/>
    <x v="2"/>
    <x v="3"/>
    <x v="0"/>
  </r>
  <r>
    <n v="1171"/>
    <n v="3"/>
    <d v="2025-04-18T00:00:00"/>
    <s v="U789"/>
    <n v="0"/>
    <n v="8"/>
    <n v="161"/>
    <n v="211"/>
    <x v="9"/>
    <x v="0"/>
    <x v="9"/>
    <x v="1"/>
  </r>
  <r>
    <n v="1172"/>
    <n v="1"/>
    <d v="2025-04-19T00:00:00"/>
    <s v="Y099"/>
    <n v="1"/>
    <n v="18"/>
    <n v="172"/>
    <n v="217"/>
    <x v="18"/>
    <x v="1"/>
    <x v="18"/>
    <x v="0"/>
  </r>
  <r>
    <n v="1173"/>
    <n v="3"/>
    <d v="2025-04-20T00:00:00"/>
    <s v="T999"/>
    <n v="1"/>
    <n v="10"/>
    <n v="149"/>
    <n v="232"/>
    <x v="15"/>
    <x v="0"/>
    <x v="15"/>
    <x v="1"/>
  </r>
  <r>
    <n v="1174"/>
    <n v="2"/>
    <d v="2025-04-21T00:00:00"/>
    <s v="Y341"/>
    <n v="0"/>
    <n v="4"/>
    <n v="162"/>
    <n v="29"/>
    <x v="24"/>
    <x v="2"/>
    <x v="24"/>
    <x v="2"/>
  </r>
  <r>
    <n v="1175"/>
    <n v="1"/>
    <d v="2025-04-22T00:00:00"/>
    <s v="T244"/>
    <n v="0"/>
    <n v="3"/>
    <n v="166"/>
    <n v="3"/>
    <x v="0"/>
    <x v="0"/>
    <x v="0"/>
    <x v="0"/>
  </r>
  <r>
    <n v="1176"/>
    <n v="3"/>
    <d v="2025-04-23T00:00:00"/>
    <s v="Y784"/>
    <n v="0"/>
    <n v="5"/>
    <n v="172"/>
    <n v="58"/>
    <x v="13"/>
    <x v="1"/>
    <x v="13"/>
    <x v="1"/>
  </r>
  <r>
    <n v="1177"/>
    <n v="1"/>
    <d v="2025-04-24T00:00:00"/>
    <s v="U486"/>
    <n v="1"/>
    <n v="3"/>
    <n v="161"/>
    <n v="3"/>
    <x v="16"/>
    <x v="1"/>
    <x v="16"/>
    <x v="0"/>
  </r>
  <r>
    <n v="1178"/>
    <n v="3"/>
    <d v="2025-04-25T00:00:00"/>
    <s v="Y784"/>
    <n v="1"/>
    <n v="5"/>
    <n v="144"/>
    <n v="290"/>
    <x v="13"/>
    <x v="1"/>
    <x v="13"/>
    <x v="1"/>
  </r>
  <r>
    <n v="1179"/>
    <n v="3"/>
    <d v="2025-04-26T00:00:00"/>
    <s v="T562"/>
    <n v="1"/>
    <n v="5"/>
    <n v="187"/>
    <n v="61"/>
    <x v="22"/>
    <x v="1"/>
    <x v="22"/>
    <x v="1"/>
  </r>
  <r>
    <n v="1180"/>
    <n v="1"/>
    <d v="2025-04-27T00:00:00"/>
    <s v="U486"/>
    <n v="0"/>
    <n v="3"/>
    <n v="144"/>
    <n v="58"/>
    <x v="16"/>
    <x v="1"/>
    <x v="16"/>
    <x v="0"/>
  </r>
  <r>
    <n v="1181"/>
    <n v="3"/>
    <d v="2025-04-28T00:00:00"/>
    <s v="U789"/>
    <n v="1"/>
    <n v="6"/>
    <n v="140"/>
    <n v="61"/>
    <x v="9"/>
    <x v="0"/>
    <x v="9"/>
    <x v="1"/>
  </r>
  <r>
    <n v="1182"/>
    <n v="3"/>
    <d v="2025-04-29T00:00:00"/>
    <s v="T857"/>
    <n v="0"/>
    <n v="16"/>
    <n v="163"/>
    <n v="126"/>
    <x v="3"/>
    <x v="2"/>
    <x v="3"/>
    <x v="1"/>
  </r>
  <r>
    <n v="1183"/>
    <n v="2"/>
    <d v="2025-04-30T00:00:00"/>
    <s v="U789"/>
    <n v="0"/>
    <n v="13"/>
    <n v="147"/>
    <n v="278"/>
    <x v="9"/>
    <x v="0"/>
    <x v="9"/>
    <x v="2"/>
  </r>
  <r>
    <n v="1184"/>
    <n v="2"/>
    <d v="2025-05-01T00:00:00"/>
    <s v="Y092"/>
    <n v="1"/>
    <n v="3"/>
    <n v="173"/>
    <n v="58"/>
    <x v="10"/>
    <x v="2"/>
    <x v="10"/>
    <x v="2"/>
  </r>
  <r>
    <n v="1185"/>
    <n v="1"/>
    <d v="2025-05-02T00:00:00"/>
    <s v="Y784"/>
    <n v="1"/>
    <n v="12"/>
    <n v="144"/>
    <n v="170"/>
    <x v="13"/>
    <x v="1"/>
    <x v="13"/>
    <x v="0"/>
  </r>
  <r>
    <n v="1186"/>
    <n v="3"/>
    <d v="2025-05-03T00:00:00"/>
    <s v="U345"/>
    <n v="0"/>
    <n v="12"/>
    <n v="166"/>
    <n v="269"/>
    <x v="11"/>
    <x v="0"/>
    <x v="11"/>
    <x v="1"/>
  </r>
  <r>
    <n v="1187"/>
    <n v="1"/>
    <d v="2025-05-04T00:00:00"/>
    <s v="U546"/>
    <n v="0"/>
    <n v="4"/>
    <n v="156"/>
    <n v="21"/>
    <x v="17"/>
    <x v="2"/>
    <x v="17"/>
    <x v="0"/>
  </r>
  <r>
    <n v="1188"/>
    <n v="3"/>
    <d v="2025-05-05T00:00:00"/>
    <s v="Y092"/>
    <n v="1"/>
    <n v="33"/>
    <n v="159"/>
    <n v="93"/>
    <x v="10"/>
    <x v="2"/>
    <x v="10"/>
    <x v="1"/>
  </r>
  <r>
    <n v="1189"/>
    <n v="3"/>
    <d v="2025-05-06T00:00:00"/>
    <s v="U533"/>
    <n v="1"/>
    <n v="12"/>
    <n v="167"/>
    <n v="89"/>
    <x v="21"/>
    <x v="0"/>
    <x v="21"/>
    <x v="1"/>
  </r>
  <r>
    <n v="1190"/>
    <n v="2"/>
    <d v="2025-05-07T00:00:00"/>
    <s v="T244"/>
    <n v="0"/>
    <n v="5"/>
    <n v="162"/>
    <n v="58"/>
    <x v="0"/>
    <x v="0"/>
    <x v="0"/>
    <x v="2"/>
  </r>
  <r>
    <n v="1191"/>
    <n v="1"/>
    <d v="2025-05-08T00:00:00"/>
    <s v="T095"/>
    <n v="1"/>
    <n v="4"/>
    <n v="148"/>
    <n v="62"/>
    <x v="8"/>
    <x v="2"/>
    <x v="8"/>
    <x v="0"/>
  </r>
  <r>
    <n v="1192"/>
    <n v="3"/>
    <d v="2025-05-09T00:00:00"/>
    <s v="Y983"/>
    <n v="0"/>
    <n v="12"/>
    <n v="163"/>
    <n v="175"/>
    <x v="5"/>
    <x v="2"/>
    <x v="5"/>
    <x v="1"/>
  </r>
  <r>
    <n v="1193"/>
    <n v="1"/>
    <d v="2025-05-10T00:00:00"/>
    <s v="Y847"/>
    <n v="0"/>
    <n v="10"/>
    <n v="168"/>
    <n v="187"/>
    <x v="4"/>
    <x v="0"/>
    <x v="4"/>
    <x v="0"/>
  </r>
  <r>
    <n v="1194"/>
    <n v="3"/>
    <d v="2025-05-11T00:00:00"/>
    <s v="U486"/>
    <n v="0"/>
    <n v="41"/>
    <n v="159"/>
    <n v="320"/>
    <x v="16"/>
    <x v="1"/>
    <x v="16"/>
    <x v="1"/>
  </r>
  <r>
    <n v="1195"/>
    <n v="2"/>
    <d v="2025-05-12T00:00:00"/>
    <s v="T562"/>
    <n v="0"/>
    <n v="18"/>
    <n v="190"/>
    <n v="235"/>
    <x v="22"/>
    <x v="1"/>
    <x v="22"/>
    <x v="2"/>
  </r>
  <r>
    <n v="1196"/>
    <n v="2"/>
    <d v="2025-05-13T00:00:00"/>
    <s v="U546"/>
    <n v="0"/>
    <n v="25"/>
    <n v="155"/>
    <n v="290"/>
    <x v="17"/>
    <x v="2"/>
    <x v="17"/>
    <x v="2"/>
  </r>
  <r>
    <n v="1197"/>
    <n v="1"/>
    <d v="2025-05-14T00:00:00"/>
    <s v="Y857"/>
    <n v="1"/>
    <n v="7"/>
    <n v="155"/>
    <n v="175"/>
    <x v="1"/>
    <x v="0"/>
    <x v="1"/>
    <x v="0"/>
  </r>
  <r>
    <n v="1198"/>
    <n v="1"/>
    <d v="2025-05-15T00:00:00"/>
    <s v="T367"/>
    <n v="1"/>
    <n v="8"/>
    <n v="176"/>
    <n v="114"/>
    <x v="19"/>
    <x v="2"/>
    <x v="19"/>
    <x v="0"/>
  </r>
  <r>
    <n v="1199"/>
    <n v="1"/>
    <d v="2025-05-16T00:00:00"/>
    <s v="U834"/>
    <n v="1"/>
    <n v="11"/>
    <n v="160"/>
    <n v="174"/>
    <x v="2"/>
    <x v="1"/>
    <x v="2"/>
    <x v="0"/>
  </r>
  <r>
    <n v="1200"/>
    <n v="3"/>
    <d v="2025-05-17T00:00:00"/>
    <s v="T562"/>
    <n v="1"/>
    <n v="13"/>
    <n v="163"/>
    <n v="126"/>
    <x v="22"/>
    <x v="1"/>
    <x v="22"/>
    <x v="1"/>
  </r>
  <r>
    <n v="1201"/>
    <n v="1"/>
    <d v="2025-05-18T00:00:00"/>
    <s v="Y099"/>
    <n v="1"/>
    <n v="11"/>
    <n v="180"/>
    <n v="154"/>
    <x v="18"/>
    <x v="1"/>
    <x v="18"/>
    <x v="0"/>
  </r>
  <r>
    <n v="1202"/>
    <n v="1"/>
    <d v="2025-05-19T00:00:00"/>
    <s v="Y099"/>
    <n v="1"/>
    <n v="6"/>
    <n v="118"/>
    <n v="59"/>
    <x v="18"/>
    <x v="1"/>
    <x v="18"/>
    <x v="0"/>
  </r>
  <r>
    <n v="1203"/>
    <n v="1"/>
    <d v="2025-05-20T00:00:00"/>
    <s v="T095"/>
    <n v="1"/>
    <n v="10"/>
    <n v="160"/>
    <n v="104"/>
    <x v="8"/>
    <x v="2"/>
    <x v="8"/>
    <x v="0"/>
  </r>
  <r>
    <n v="1204"/>
    <n v="2"/>
    <d v="2025-05-21T00:00:00"/>
    <s v="T857"/>
    <n v="0"/>
    <n v="8"/>
    <n v="155"/>
    <n v="107"/>
    <x v="3"/>
    <x v="2"/>
    <x v="3"/>
    <x v="2"/>
  </r>
  <r>
    <n v="1205"/>
    <n v="2"/>
    <d v="2025-05-22T00:00:00"/>
    <s v="Y099"/>
    <n v="1"/>
    <n v="3"/>
    <n v="166"/>
    <n v="58"/>
    <x v="18"/>
    <x v="1"/>
    <x v="18"/>
    <x v="2"/>
  </r>
  <r>
    <n v="1206"/>
    <n v="3"/>
    <d v="2025-05-23T00:00:00"/>
    <s v="U092"/>
    <n v="0"/>
    <n v="5"/>
    <n v="168"/>
    <n v="69"/>
    <x v="14"/>
    <x v="0"/>
    <x v="14"/>
    <x v="1"/>
  </r>
  <r>
    <n v="1207"/>
    <n v="1"/>
    <d v="2025-05-24T00:00:00"/>
    <s v="U466"/>
    <n v="0"/>
    <n v="14"/>
    <n v="164"/>
    <n v="149"/>
    <x v="23"/>
    <x v="2"/>
    <x v="23"/>
    <x v="0"/>
  </r>
  <r>
    <n v="1208"/>
    <n v="1"/>
    <d v="2025-05-25T00:00:00"/>
    <s v="U466"/>
    <n v="1"/>
    <n v="7"/>
    <n v="111"/>
    <n v="116"/>
    <x v="23"/>
    <x v="2"/>
    <x v="23"/>
    <x v="0"/>
  </r>
  <r>
    <n v="1209"/>
    <n v="2"/>
    <d v="2025-05-26T00:00:00"/>
    <s v="T562"/>
    <n v="0"/>
    <n v="13"/>
    <n v="189"/>
    <n v="107"/>
    <x v="22"/>
    <x v="1"/>
    <x v="22"/>
    <x v="2"/>
  </r>
  <r>
    <n v="1210"/>
    <n v="3"/>
    <d v="2025-05-27T00:00:00"/>
    <s v="T562"/>
    <n v="1"/>
    <n v="21"/>
    <n v="171"/>
    <n v="253"/>
    <x v="22"/>
    <x v="1"/>
    <x v="22"/>
    <x v="1"/>
  </r>
  <r>
    <n v="1211"/>
    <n v="1"/>
    <d v="2025-05-28T00:00:00"/>
    <s v="Y857"/>
    <n v="0"/>
    <n v="15"/>
    <n v="181"/>
    <n v="129"/>
    <x v="1"/>
    <x v="0"/>
    <x v="1"/>
    <x v="0"/>
  </r>
  <r>
    <n v="1212"/>
    <n v="2"/>
    <d v="2025-05-29T00:00:00"/>
    <s v="T857"/>
    <n v="0"/>
    <n v="17"/>
    <n v="158"/>
    <n v="119"/>
    <x v="3"/>
    <x v="2"/>
    <x v="3"/>
    <x v="2"/>
  </r>
  <r>
    <n v="1213"/>
    <n v="1"/>
    <d v="2025-05-30T00:00:00"/>
    <s v="Y983"/>
    <n v="1"/>
    <n v="21"/>
    <n v="166"/>
    <n v="165"/>
    <x v="5"/>
    <x v="2"/>
    <x v="5"/>
    <x v="0"/>
  </r>
  <r>
    <n v="1214"/>
    <n v="2"/>
    <d v="2025-05-31T00:00:00"/>
    <s v="U533"/>
    <n v="0"/>
    <n v="10"/>
    <n v="195"/>
    <n v="80"/>
    <x v="21"/>
    <x v="0"/>
    <x v="21"/>
    <x v="2"/>
  </r>
  <r>
    <n v="1215"/>
    <n v="3"/>
    <d v="2025-06-01T00:00:00"/>
    <s v="Y341"/>
    <n v="1"/>
    <n v="13"/>
    <n v="169"/>
    <n v="121"/>
    <x v="24"/>
    <x v="2"/>
    <x v="24"/>
    <x v="1"/>
  </r>
  <r>
    <n v="1216"/>
    <n v="1"/>
    <d v="2025-06-02T00:00:00"/>
    <s v="T999"/>
    <n v="1"/>
    <n v="12"/>
    <n v="194"/>
    <n v="108"/>
    <x v="15"/>
    <x v="0"/>
    <x v="15"/>
    <x v="0"/>
  </r>
  <r>
    <n v="1217"/>
    <n v="3"/>
    <d v="2025-06-03T00:00:00"/>
    <s v="Y857"/>
    <n v="1"/>
    <n v="7"/>
    <n v="167"/>
    <n v="61"/>
    <x v="1"/>
    <x v="0"/>
    <x v="1"/>
    <x v="1"/>
  </r>
  <r>
    <n v="1218"/>
    <n v="2"/>
    <d v="2025-06-04T00:00:00"/>
    <s v="T609"/>
    <n v="1"/>
    <n v="12"/>
    <n v="171"/>
    <n v="94"/>
    <x v="7"/>
    <x v="1"/>
    <x v="7"/>
    <x v="2"/>
  </r>
  <r>
    <n v="1219"/>
    <n v="3"/>
    <d v="2025-06-05T00:00:00"/>
    <s v="U789"/>
    <n v="1"/>
    <n v="11"/>
    <n v="181"/>
    <n v="119"/>
    <x v="9"/>
    <x v="0"/>
    <x v="9"/>
    <x v="1"/>
  </r>
  <r>
    <n v="1220"/>
    <n v="1"/>
    <d v="2025-06-06T00:00:00"/>
    <s v="T562"/>
    <n v="1"/>
    <n v="17"/>
    <n v="171"/>
    <n v="100"/>
    <x v="22"/>
    <x v="1"/>
    <x v="22"/>
    <x v="0"/>
  </r>
  <r>
    <n v="1221"/>
    <n v="2"/>
    <d v="2025-06-07T00:00:00"/>
    <s v="U345"/>
    <n v="0"/>
    <n v="6"/>
    <n v="186"/>
    <n v="174"/>
    <x v="11"/>
    <x v="0"/>
    <x v="11"/>
    <x v="2"/>
  </r>
  <r>
    <n v="1222"/>
    <n v="2"/>
    <d v="2025-06-08T00:00:00"/>
    <s v="U546"/>
    <n v="0"/>
    <n v="4"/>
    <n v="155"/>
    <n v="55"/>
    <x v="17"/>
    <x v="2"/>
    <x v="17"/>
    <x v="2"/>
  </r>
  <r>
    <n v="1223"/>
    <n v="3"/>
    <d v="2025-06-09T00:00:00"/>
    <s v="Y341"/>
    <n v="1"/>
    <n v="14"/>
    <n v="222"/>
    <n v="97"/>
    <x v="24"/>
    <x v="2"/>
    <x v="24"/>
    <x v="1"/>
  </r>
  <r>
    <n v="1224"/>
    <n v="1"/>
    <d v="2025-06-10T00:00:00"/>
    <s v="U466"/>
    <n v="0"/>
    <n v="17"/>
    <n v="176"/>
    <n v="138"/>
    <x v="23"/>
    <x v="2"/>
    <x v="23"/>
    <x v="0"/>
  </r>
  <r>
    <n v="1225"/>
    <n v="1"/>
    <d v="2025-06-11T00:00:00"/>
    <s v="Y847"/>
    <n v="0"/>
    <n v="13"/>
    <n v="173"/>
    <n v="116"/>
    <x v="4"/>
    <x v="0"/>
    <x v="4"/>
    <x v="0"/>
  </r>
  <r>
    <n v="1226"/>
    <n v="3"/>
    <d v="2025-06-12T00:00:00"/>
    <s v="Y341"/>
    <n v="1"/>
    <n v="8"/>
    <n v="158"/>
    <n v="130"/>
    <x v="24"/>
    <x v="2"/>
    <x v="24"/>
    <x v="1"/>
  </r>
  <r>
    <n v="1227"/>
    <n v="2"/>
    <d v="2025-06-13T00:00:00"/>
    <s v="T562"/>
    <n v="1"/>
    <n v="13"/>
    <n v="153"/>
    <n v="116"/>
    <x v="22"/>
    <x v="1"/>
    <x v="22"/>
    <x v="2"/>
  </r>
  <r>
    <n v="1228"/>
    <n v="2"/>
    <d v="2025-06-14T00:00:00"/>
    <s v="Y784"/>
    <n v="0"/>
    <n v="8"/>
    <n v="169"/>
    <n v="153"/>
    <x v="13"/>
    <x v="1"/>
    <x v="13"/>
    <x v="2"/>
  </r>
  <r>
    <n v="1229"/>
    <n v="3"/>
    <d v="2025-06-15T00:00:00"/>
    <s v="T980"/>
    <n v="1"/>
    <n v="4"/>
    <n v="206"/>
    <n v="57"/>
    <x v="12"/>
    <x v="1"/>
    <x v="12"/>
    <x v="1"/>
  </r>
  <r>
    <n v="1230"/>
    <n v="3"/>
    <d v="2025-06-16T00:00:00"/>
    <s v="T367"/>
    <n v="0"/>
    <n v="3"/>
    <n v="164"/>
    <n v="46"/>
    <x v="19"/>
    <x v="2"/>
    <x v="19"/>
    <x v="1"/>
  </r>
  <r>
    <n v="1231"/>
    <n v="2"/>
    <d v="2025-06-17T00:00:00"/>
    <s v="Y847"/>
    <n v="1"/>
    <n v="8"/>
    <n v="158"/>
    <n v="514"/>
    <x v="4"/>
    <x v="0"/>
    <x v="4"/>
    <x v="2"/>
  </r>
  <r>
    <n v="1232"/>
    <n v="2"/>
    <d v="2025-06-18T00:00:00"/>
    <s v="U466"/>
    <n v="1"/>
    <n v="4"/>
    <n v="160"/>
    <n v="58"/>
    <x v="23"/>
    <x v="2"/>
    <x v="23"/>
    <x v="2"/>
  </r>
  <r>
    <n v="1233"/>
    <n v="2"/>
    <d v="2025-06-19T00:00:00"/>
    <s v="Y857"/>
    <n v="1"/>
    <n v="9"/>
    <n v="167"/>
    <n v="106"/>
    <x v="1"/>
    <x v="0"/>
    <x v="1"/>
    <x v="2"/>
  </r>
  <r>
    <n v="1234"/>
    <n v="3"/>
    <d v="2025-06-20T00:00:00"/>
    <s v="T562"/>
    <n v="0"/>
    <n v="8"/>
    <n v="162"/>
    <n v="103"/>
    <x v="22"/>
    <x v="1"/>
    <x v="22"/>
    <x v="1"/>
  </r>
  <r>
    <n v="1235"/>
    <n v="3"/>
    <d v="2025-06-21T00:00:00"/>
    <s v="T244"/>
    <n v="1"/>
    <n v="4"/>
    <n v="159"/>
    <n v="48"/>
    <x v="0"/>
    <x v="0"/>
    <x v="0"/>
    <x v="1"/>
  </r>
  <r>
    <n v="1236"/>
    <n v="3"/>
    <d v="2025-06-22T00:00:00"/>
    <s v="Y092"/>
    <n v="1"/>
    <n v="6"/>
    <n v="159"/>
    <n v="61"/>
    <x v="10"/>
    <x v="2"/>
    <x v="10"/>
    <x v="1"/>
  </r>
  <r>
    <n v="1237"/>
    <n v="2"/>
    <d v="2025-06-23T00:00:00"/>
    <s v="T562"/>
    <n v="0"/>
    <n v="3"/>
    <n v="147"/>
    <n v="3"/>
    <x v="22"/>
    <x v="1"/>
    <x v="22"/>
    <x v="2"/>
  </r>
  <r>
    <n v="1238"/>
    <n v="3"/>
    <d v="2025-06-24T00:00:00"/>
    <s v="T857"/>
    <n v="0"/>
    <n v="14"/>
    <n v="157"/>
    <n v="156"/>
    <x v="3"/>
    <x v="2"/>
    <x v="3"/>
    <x v="1"/>
  </r>
  <r>
    <n v="1239"/>
    <n v="2"/>
    <d v="2025-06-25T00:00:00"/>
    <s v="T244"/>
    <n v="1"/>
    <n v="16"/>
    <n v="150"/>
    <n v="176"/>
    <x v="0"/>
    <x v="0"/>
    <x v="0"/>
    <x v="2"/>
  </r>
  <r>
    <n v="1240"/>
    <n v="3"/>
    <d v="2025-06-26T00:00:00"/>
    <s v="U092"/>
    <n v="0"/>
    <n v="12"/>
    <n v="162"/>
    <n v="170"/>
    <x v="14"/>
    <x v="0"/>
    <x v="14"/>
    <x v="1"/>
  </r>
  <r>
    <n v="1241"/>
    <n v="3"/>
    <d v="2025-06-27T00:00:00"/>
    <s v="U092"/>
    <n v="0"/>
    <n v="14"/>
    <n v="171"/>
    <n v="354"/>
    <x v="14"/>
    <x v="0"/>
    <x v="14"/>
    <x v="1"/>
  </r>
  <r>
    <n v="1242"/>
    <n v="2"/>
    <d v="2025-06-28T00:00:00"/>
    <s v="U834"/>
    <n v="0"/>
    <n v="15"/>
    <n v="166"/>
    <n v="174"/>
    <x v="2"/>
    <x v="1"/>
    <x v="2"/>
    <x v="2"/>
  </r>
  <r>
    <n v="1243"/>
    <n v="3"/>
    <d v="2025-06-29T00:00:00"/>
    <s v="T095"/>
    <n v="0"/>
    <n v="16"/>
    <n v="169"/>
    <n v="208"/>
    <x v="8"/>
    <x v="2"/>
    <x v="8"/>
    <x v="1"/>
  </r>
  <r>
    <n v="1244"/>
    <n v="1"/>
    <d v="2025-06-30T00:00:00"/>
    <s v="T609"/>
    <n v="0"/>
    <n v="10"/>
    <n v="182"/>
    <n v="62"/>
    <x v="7"/>
    <x v="1"/>
    <x v="7"/>
    <x v="0"/>
  </r>
  <r>
    <n v="1245"/>
    <n v="2"/>
    <d v="2025-07-01T00:00:00"/>
    <s v="T857"/>
    <n v="0"/>
    <n v="10"/>
    <n v="157"/>
    <n v="217"/>
    <x v="3"/>
    <x v="2"/>
    <x v="3"/>
    <x v="2"/>
  </r>
  <r>
    <n v="1246"/>
    <n v="3"/>
    <d v="2025-07-02T00:00:00"/>
    <s v="T609"/>
    <n v="1"/>
    <n v="11"/>
    <n v="167"/>
    <n v="112"/>
    <x v="7"/>
    <x v="1"/>
    <x v="7"/>
    <x v="1"/>
  </r>
  <r>
    <n v="1247"/>
    <n v="2"/>
    <d v="2025-07-03T00:00:00"/>
    <s v="U486"/>
    <n v="1"/>
    <n v="7"/>
    <n v="170"/>
    <n v="116"/>
    <x v="16"/>
    <x v="1"/>
    <x v="16"/>
    <x v="2"/>
  </r>
  <r>
    <n v="1248"/>
    <n v="2"/>
    <d v="2025-07-04T00:00:00"/>
    <s v="U345"/>
    <n v="1"/>
    <n v="10"/>
    <n v="171"/>
    <n v="105"/>
    <x v="11"/>
    <x v="0"/>
    <x v="11"/>
    <x v="2"/>
  </r>
  <r>
    <n v="1249"/>
    <n v="2"/>
    <d v="2025-07-05T00:00:00"/>
    <s v="T562"/>
    <n v="1"/>
    <n v="12"/>
    <n v="202"/>
    <n v="232"/>
    <x v="22"/>
    <x v="1"/>
    <x v="22"/>
    <x v="2"/>
  </r>
  <r>
    <n v="1250"/>
    <n v="1"/>
    <d v="2025-07-06T00:00:00"/>
    <s v="T857"/>
    <n v="1"/>
    <n v="16"/>
    <n v="196"/>
    <n v="162"/>
    <x v="3"/>
    <x v="2"/>
    <x v="3"/>
    <x v="0"/>
  </r>
  <r>
    <n v="1251"/>
    <n v="3"/>
    <d v="2025-07-07T00:00:00"/>
    <s v="T980"/>
    <n v="0"/>
    <n v="3"/>
    <n v="132"/>
    <n v="58"/>
    <x v="12"/>
    <x v="1"/>
    <x v="1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77C55F-2915-49EA-AC1E-213C87D51198}" name="Call_Center_Pivot"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4:E33" firstHeaderRow="0" firstDataRow="1" firstDataCol="1"/>
  <pivotFields count="12">
    <pivotField dataField="1" showAll="0"/>
    <pivotField showAll="0"/>
    <pivotField numFmtId="14" showAll="0"/>
    <pivotField showAll="0"/>
    <pivotField dataField="1" showAll="0"/>
    <pivotField showAll="0"/>
    <pivotField dataField="1" showAll="0"/>
    <pivotField showAll="0"/>
    <pivotField axis="axisRow" showAll="0">
      <items count="26">
        <item x="24"/>
        <item x="10"/>
        <item x="11"/>
        <item x="23"/>
        <item x="15"/>
        <item x="22"/>
        <item x="9"/>
        <item x="6"/>
        <item x="14"/>
        <item x="0"/>
        <item x="5"/>
        <item x="20"/>
        <item x="7"/>
        <item x="13"/>
        <item x="17"/>
        <item x="21"/>
        <item x="2"/>
        <item x="3"/>
        <item x="4"/>
        <item x="16"/>
        <item x="18"/>
        <item x="1"/>
        <item x="8"/>
        <item x="12"/>
        <item x="19"/>
        <item t="default"/>
      </items>
    </pivotField>
    <pivotField axis="axisRow" showAll="0">
      <items count="4">
        <item x="1"/>
        <item x="2"/>
        <item x="0"/>
        <item t="default"/>
      </items>
    </pivotField>
    <pivotField axis="axisRow" showAll="0">
      <items count="26">
        <item sd="0" x="4"/>
        <item sd="0" x="10"/>
        <item sd="0" x="11"/>
        <item sd="0" x="7"/>
        <item sd="0" x="6"/>
        <item sd="0" x="22"/>
        <item sd="0" x="23"/>
        <item sd="0" x="8"/>
        <item sd="0" x="20"/>
        <item sd="0" x="0"/>
        <item sd="0" x="17"/>
        <item sd="0" x="9"/>
        <item sd="0" x="3"/>
        <item sd="0" x="1"/>
        <item sd="0" x="15"/>
        <item sd="0" x="12"/>
        <item sd="0" x="16"/>
        <item sd="0" x="19"/>
        <item sd="0" x="18"/>
        <item sd="0" x="24"/>
        <item sd="0" x="21"/>
        <item sd="0" x="14"/>
        <item sd="0" x="5"/>
        <item sd="0" x="13"/>
        <item sd="0" x="2"/>
        <item t="default" sd="0"/>
      </items>
    </pivotField>
    <pivotField showAll="0">
      <items count="4">
        <item x="0"/>
        <item x="2"/>
        <item x="1"/>
        <item t="default"/>
      </items>
    </pivotField>
  </pivotFields>
  <rowFields count="3">
    <field x="9"/>
    <field x="10"/>
    <field x="8"/>
  </rowFields>
  <rowItems count="29">
    <i>
      <x/>
    </i>
    <i r="1">
      <x v="3"/>
    </i>
    <i r="1">
      <x v="4"/>
    </i>
    <i r="1">
      <x v="5"/>
    </i>
    <i r="1">
      <x v="8"/>
    </i>
    <i r="1">
      <x v="15"/>
    </i>
    <i r="1">
      <x v="16"/>
    </i>
    <i r="1">
      <x v="18"/>
    </i>
    <i r="1">
      <x v="23"/>
    </i>
    <i r="1">
      <x v="24"/>
    </i>
    <i>
      <x v="1"/>
    </i>
    <i r="1">
      <x v="1"/>
    </i>
    <i r="1">
      <x v="6"/>
    </i>
    <i r="1">
      <x v="7"/>
    </i>
    <i r="1">
      <x v="10"/>
    </i>
    <i r="1">
      <x v="12"/>
    </i>
    <i r="1">
      <x v="17"/>
    </i>
    <i r="1">
      <x v="19"/>
    </i>
    <i r="1">
      <x v="22"/>
    </i>
    <i>
      <x v="2"/>
    </i>
    <i r="1">
      <x/>
    </i>
    <i r="1">
      <x v="2"/>
    </i>
    <i r="1">
      <x v="9"/>
    </i>
    <i r="1">
      <x v="11"/>
    </i>
    <i r="1">
      <x v="13"/>
    </i>
    <i r="1">
      <x v="14"/>
    </i>
    <i r="1">
      <x v="20"/>
    </i>
    <i r="1">
      <x v="21"/>
    </i>
    <i t="grand">
      <x/>
    </i>
  </rowItems>
  <colFields count="1">
    <field x="-2"/>
  </colFields>
  <colItems count="3">
    <i>
      <x/>
    </i>
    <i i="1">
      <x v="1"/>
    </i>
    <i i="2">
      <x v="2"/>
    </i>
  </colItems>
  <dataFields count="3">
    <dataField name="Calls Answered" fld="0" subtotal="count" baseField="9" baseItem="0"/>
    <dataField name="Calls Abandoned" fld="4" baseField="9" baseItem="0"/>
    <dataField name="Average of Call Duration" fld="6" subtotal="average" baseField="9" baseItem="0" numFmtId="2"/>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A4E0AE5-2688-4DF6-85D8-91E9B3070879}" autoFormatId="16" applyNumberFormats="0" applyBorderFormats="0" applyFontFormats="0" applyPatternFormats="0" applyAlignmentFormats="0" applyWidthHeightFormats="0">
  <queryTableRefresh nextId="13" unboundColumnsRight="4">
    <queryTableFields count="12">
      <queryTableField id="1" name="Call ID" tableColumnId="1"/>
      <queryTableField id="2" name="Call Type ID" tableColumnId="2"/>
      <queryTableField id="3" name="Call Timestamp" tableColumnId="3"/>
      <queryTableField id="4" name="Emp ID" tableColumnId="4"/>
      <queryTableField id="5" name="Abandoned Call" tableColumnId="5"/>
      <queryTableField id="6" name="Answer Speed SECS (AVG)" tableColumnId="6"/>
      <queryTableField id="7" name="Talk Duration SECS (AVG)" tableColumnId="7"/>
      <queryTableField id="8" name="Waiting Time SECS (AVG)" tableColumnId="8"/>
      <queryTableField id="9" dataBound="0" tableColumnId="9"/>
      <queryTableField id="10" dataBound="0" tableColumnId="10"/>
      <queryTableField id="11" dataBound="0"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ll_Type_Desc" xr10:uid="{E394DF03-C6D0-467E-9E5E-976CCFB5529F}" sourceName="Call Type Desc">
  <pivotTables>
    <pivotTable tabId="8" name="Call_Center_Pivot"/>
  </pivotTables>
  <data>
    <tabular pivotCacheId="1572699091">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ll Type Desc" xr10:uid="{57B26A97-9F82-4F04-9300-CB59ED2D6812}" cache="Slicer_Call_Type_Desc" caption="Call Type Desc"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1838575-E5F1-4A25-A837-302A5B172E47}" name="Call_Center_Data" displayName="Call_Center_Data" ref="A1:L1252" tableType="queryTable" totalsRowShown="0">
  <autoFilter ref="A1:L1252" xr:uid="{11838575-E5F1-4A25-A837-302A5B172E47}"/>
  <tableColumns count="12">
    <tableColumn id="1" xr3:uid="{6EFD5F96-4F3F-4734-B9F2-E2E3F7CE259B}" uniqueName="1" name="Call ID" queryTableFieldId="1"/>
    <tableColumn id="2" xr3:uid="{D8141FA0-60C3-4E5F-9B60-5079F4C9A05E}" uniqueName="2" name="Call Type ID" queryTableFieldId="2"/>
    <tableColumn id="3" xr3:uid="{49C77C7E-BB22-484C-9C87-68EC772E48E8}" uniqueName="3" name="Call Timestamp" queryTableFieldId="3" dataDxfId="1"/>
    <tableColumn id="4" xr3:uid="{06AE96B0-6C6E-4D8B-9F3E-A24A2CE850C1}" uniqueName="4" name="Emp ID" queryTableFieldId="4" dataDxfId="0"/>
    <tableColumn id="5" xr3:uid="{9E9C91A2-7142-4520-941B-0A4788138B7F}" uniqueName="5" name="Abandoned Call" queryTableFieldId="5"/>
    <tableColumn id="6" xr3:uid="{5880902C-7E87-473A-8E9F-E88259DFE0DB}" uniqueName="6" name="Answer Speed SECS (AVG)" queryTableFieldId="6"/>
    <tableColumn id="7" xr3:uid="{B32E5C1D-9F5B-44F8-AA29-9CC0DCB32831}" uniqueName="7" name="Talk Duration SECS (AVG)" queryTableFieldId="7"/>
    <tableColumn id="8" xr3:uid="{A0B172FA-208B-439C-A2F9-9CA5B08B8047}" uniqueName="8" name="Waiting Time SECS (AVG)" queryTableFieldId="8"/>
    <tableColumn id="9" xr3:uid="{F3141672-5404-4CB3-AEB5-727B2B105D67}" uniqueName="9" name="Emp Name" queryTableFieldId="9" dataDxfId="5">
      <calculatedColumnFormula>VLOOKUP(Call_Center_Data[[#This Row],[Emp ID]],Employee[],2,FALSE)</calculatedColumnFormula>
    </tableColumn>
    <tableColumn id="10" xr3:uid="{0A2A317B-D02B-471C-985F-711BD3CAD235}" uniqueName="10" name="Site" queryTableFieldId="10" dataDxfId="4">
      <calculatedColumnFormula>VLOOKUP(Call_Center_Data[[#This Row],[Emp ID]], Employee[], 3, FALSE)</calculatedColumnFormula>
    </tableColumn>
    <tableColumn id="11" xr3:uid="{48E376B7-B051-412E-BC06-D9BAB1C928EA}" uniqueName="11" name="Manager Name" queryTableFieldId="11" dataDxfId="3">
      <calculatedColumnFormula>VLOOKUP(Call_Center_Data[[#This Row],[Emp ID]], Employee[], 4, FALSE)</calculatedColumnFormula>
    </tableColumn>
    <tableColumn id="12" xr3:uid="{6FB0EA3F-76D3-4D1A-8F20-D97CCA79C1C8}" uniqueName="12" name="Call Type Desc" queryTableFieldId="12" dataDxfId="2">
      <calculatedColumnFormula>VLOOKUP(Call_Center_Data[[#This Row],[Call Type ID]], Call_Type[], 2, FALSE)</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9D85A14-A47B-44AE-BF1A-40382CD06101}" name="Employee" displayName="Employee" ref="A1:D26" totalsRowShown="0">
  <autoFilter ref="A1:D26" xr:uid="{89D85A14-A47B-44AE-BF1A-40382CD06101}"/>
  <tableColumns count="4">
    <tableColumn id="1" xr3:uid="{1525DF3F-A7F2-43A7-B388-A035BF07E1A1}" name="Emp ID"/>
    <tableColumn id="2" xr3:uid="{9581E48D-B499-41B3-B509-194019935DCC}" name="Emp Name" dataDxfId="7"/>
    <tableColumn id="3" xr3:uid="{59CCF84C-E2D0-4A88-9EC3-B05B72279F78}" name="Site" dataDxfId="6"/>
    <tableColumn id="4" xr3:uid="{CCE6398F-AFB0-4529-AE06-9ADAA90BB5AE}" name="Manager 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2C2E4D9-B904-4F9B-A687-9E8AF25178D6}" name="Call_Type" displayName="Call_Type" ref="A1:B4" totalsRowShown="0">
  <autoFilter ref="A1:B4" xr:uid="{02C2E4D9-B904-4F9B-A687-9E8AF25178D6}"/>
  <tableColumns count="2">
    <tableColumn id="1" xr3:uid="{6A599C9A-0282-4550-B6B2-9190061CAE28}" name="Call Type ID"/>
    <tableColumn id="2" xr3:uid="{A1361525-F650-42FE-8FBE-A65F589D0820}" name="Call Type Desc"/>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35EF7-7F0B-48B9-8E26-B91EB045C5ED}">
  <dimension ref="B2:E33"/>
  <sheetViews>
    <sheetView tabSelected="1" workbookViewId="0">
      <selection activeCell="I12" sqref="I12"/>
    </sheetView>
  </sheetViews>
  <sheetFormatPr defaultRowHeight="14.4" x14ac:dyDescent="0.3"/>
  <cols>
    <col min="1" max="1" width="3.6640625" customWidth="1"/>
    <col min="2" max="2" width="17.5546875" bestFit="1" customWidth="1"/>
    <col min="3" max="3" width="13.6640625" bestFit="1" customWidth="1"/>
    <col min="4" max="4" width="15.21875" bestFit="1" customWidth="1"/>
    <col min="5" max="5" width="21.6640625" bestFit="1" customWidth="1"/>
  </cols>
  <sheetData>
    <row r="2" spans="2:5" ht="20.399999999999999" thickBot="1" x14ac:dyDescent="0.45">
      <c r="B2" s="9" t="s">
        <v>59</v>
      </c>
      <c r="C2" s="8">
        <f ca="1">TODAY()</f>
        <v>44595</v>
      </c>
    </row>
    <row r="3" spans="2:5" ht="15" thickTop="1" x14ac:dyDescent="0.3"/>
    <row r="4" spans="2:5" x14ac:dyDescent="0.3">
      <c r="B4" s="4" t="s">
        <v>94</v>
      </c>
      <c r="C4" t="s">
        <v>96</v>
      </c>
      <c r="D4" t="s">
        <v>98</v>
      </c>
      <c r="E4" t="s">
        <v>97</v>
      </c>
    </row>
    <row r="5" spans="2:5" x14ac:dyDescent="0.3">
      <c r="B5" s="5" t="s">
        <v>11</v>
      </c>
      <c r="C5" s="2">
        <v>451</v>
      </c>
      <c r="D5" s="2">
        <v>213</v>
      </c>
      <c r="E5" s="7">
        <v>156.7139689578714</v>
      </c>
    </row>
    <row r="6" spans="2:5" x14ac:dyDescent="0.3">
      <c r="B6" s="6" t="s">
        <v>25</v>
      </c>
      <c r="C6" s="2">
        <v>46</v>
      </c>
      <c r="D6" s="2">
        <v>24</v>
      </c>
      <c r="E6" s="7">
        <v>155.86956521739131</v>
      </c>
    </row>
    <row r="7" spans="2:5" x14ac:dyDescent="0.3">
      <c r="B7" s="6" t="s">
        <v>23</v>
      </c>
      <c r="C7" s="2">
        <v>54</v>
      </c>
      <c r="D7" s="2">
        <v>21</v>
      </c>
      <c r="E7" s="7">
        <v>157.55555555555554</v>
      </c>
    </row>
    <row r="8" spans="2:5" x14ac:dyDescent="0.3">
      <c r="B8" s="6" t="s">
        <v>56</v>
      </c>
      <c r="C8" s="2">
        <v>56</v>
      </c>
      <c r="D8" s="2">
        <v>29</v>
      </c>
      <c r="E8" s="7">
        <v>159.57142857142858</v>
      </c>
    </row>
    <row r="9" spans="2:5" x14ac:dyDescent="0.3">
      <c r="B9" s="6" t="s">
        <v>52</v>
      </c>
      <c r="C9" s="2">
        <v>52</v>
      </c>
      <c r="D9" s="2">
        <v>21</v>
      </c>
      <c r="E9" s="7">
        <v>155.17307692307693</v>
      </c>
    </row>
    <row r="10" spans="2:5" x14ac:dyDescent="0.3">
      <c r="B10" s="6" t="s">
        <v>33</v>
      </c>
      <c r="C10" s="2">
        <v>43</v>
      </c>
      <c r="D10" s="2">
        <v>18</v>
      </c>
      <c r="E10" s="7">
        <v>154.34883720930233</v>
      </c>
    </row>
    <row r="11" spans="2:5" x14ac:dyDescent="0.3">
      <c r="B11" s="6" t="s">
        <v>44</v>
      </c>
      <c r="C11" s="2">
        <v>43</v>
      </c>
      <c r="D11" s="2">
        <v>21</v>
      </c>
      <c r="E11" s="7">
        <v>159.86046511627907</v>
      </c>
    </row>
    <row r="12" spans="2:5" x14ac:dyDescent="0.3">
      <c r="B12" s="6" t="s">
        <v>47</v>
      </c>
      <c r="C12" s="2">
        <v>51</v>
      </c>
      <c r="D12" s="2">
        <v>25</v>
      </c>
      <c r="E12" s="7">
        <v>156.92156862745097</v>
      </c>
    </row>
    <row r="13" spans="2:5" x14ac:dyDescent="0.3">
      <c r="B13" s="6" t="s">
        <v>34</v>
      </c>
      <c r="C13" s="2">
        <v>58</v>
      </c>
      <c r="D13" s="2">
        <v>32</v>
      </c>
      <c r="E13" s="7">
        <v>154.79310344827587</v>
      </c>
    </row>
    <row r="14" spans="2:5" x14ac:dyDescent="0.3">
      <c r="B14" s="6" t="s">
        <v>12</v>
      </c>
      <c r="C14" s="2">
        <v>48</v>
      </c>
      <c r="D14" s="2">
        <v>22</v>
      </c>
      <c r="E14" s="7">
        <v>156.3125</v>
      </c>
    </row>
    <row r="15" spans="2:5" x14ac:dyDescent="0.3">
      <c r="B15" s="5" t="s">
        <v>89</v>
      </c>
      <c r="C15" s="2">
        <v>369</v>
      </c>
      <c r="D15" s="2">
        <v>181</v>
      </c>
      <c r="E15" s="7">
        <v>157.1219512195122</v>
      </c>
    </row>
    <row r="16" spans="2:5" x14ac:dyDescent="0.3">
      <c r="B16" s="6" t="s">
        <v>28</v>
      </c>
      <c r="C16" s="2">
        <v>47</v>
      </c>
      <c r="D16" s="2">
        <v>22</v>
      </c>
      <c r="E16" s="7">
        <v>155.10638297872342</v>
      </c>
    </row>
    <row r="17" spans="2:5" x14ac:dyDescent="0.3">
      <c r="B17" s="6" t="s">
        <v>57</v>
      </c>
      <c r="C17" s="2">
        <v>48</v>
      </c>
      <c r="D17" s="2">
        <v>24</v>
      </c>
      <c r="E17" s="7">
        <v>157.89583333333334</v>
      </c>
    </row>
    <row r="18" spans="2:5" x14ac:dyDescent="0.3">
      <c r="B18" s="6" t="s">
        <v>26</v>
      </c>
      <c r="C18" s="2">
        <v>42</v>
      </c>
      <c r="D18" s="2">
        <v>25</v>
      </c>
      <c r="E18" s="7">
        <v>155.78571428571428</v>
      </c>
    </row>
    <row r="19" spans="2:5" x14ac:dyDescent="0.3">
      <c r="B19" s="6" t="s">
        <v>45</v>
      </c>
      <c r="C19" s="2">
        <v>40</v>
      </c>
      <c r="D19" s="2">
        <v>17</v>
      </c>
      <c r="E19" s="7">
        <v>157.65</v>
      </c>
    </row>
    <row r="20" spans="2:5" x14ac:dyDescent="0.3">
      <c r="B20" s="6" t="s">
        <v>15</v>
      </c>
      <c r="C20" s="2">
        <v>54</v>
      </c>
      <c r="D20" s="2">
        <v>24</v>
      </c>
      <c r="E20" s="7">
        <v>155.14814814814815</v>
      </c>
    </row>
    <row r="21" spans="2:5" x14ac:dyDescent="0.3">
      <c r="B21" s="6" t="s">
        <v>50</v>
      </c>
      <c r="C21" s="2">
        <v>46</v>
      </c>
      <c r="D21" s="2">
        <v>19</v>
      </c>
      <c r="E21" s="7">
        <v>158.7608695652174</v>
      </c>
    </row>
    <row r="22" spans="2:5" x14ac:dyDescent="0.3">
      <c r="B22" s="6" t="s">
        <v>58</v>
      </c>
      <c r="C22" s="2">
        <v>50</v>
      </c>
      <c r="D22" s="2">
        <v>31</v>
      </c>
      <c r="E22" s="7">
        <v>161.72</v>
      </c>
    </row>
    <row r="23" spans="2:5" x14ac:dyDescent="0.3">
      <c r="B23" s="6" t="s">
        <v>21</v>
      </c>
      <c r="C23" s="2">
        <v>42</v>
      </c>
      <c r="D23" s="2">
        <v>19</v>
      </c>
      <c r="E23" s="7">
        <v>154.5952380952381</v>
      </c>
    </row>
    <row r="24" spans="2:5" x14ac:dyDescent="0.3">
      <c r="B24" s="5" t="s">
        <v>5</v>
      </c>
      <c r="C24" s="2">
        <v>431</v>
      </c>
      <c r="D24" s="2">
        <v>213</v>
      </c>
      <c r="E24" s="7">
        <v>158.79582366589327</v>
      </c>
    </row>
    <row r="25" spans="2:5" x14ac:dyDescent="0.3">
      <c r="B25" s="6" t="s">
        <v>17</v>
      </c>
      <c r="C25" s="2">
        <v>51</v>
      </c>
      <c r="D25" s="2">
        <v>27</v>
      </c>
      <c r="E25" s="7">
        <v>162.13725490196077</v>
      </c>
    </row>
    <row r="26" spans="2:5" x14ac:dyDescent="0.3">
      <c r="B26" s="6" t="s">
        <v>32</v>
      </c>
      <c r="C26" s="2">
        <v>52</v>
      </c>
      <c r="D26" s="2">
        <v>20</v>
      </c>
      <c r="E26" s="7">
        <v>157.07692307692307</v>
      </c>
    </row>
    <row r="27" spans="2:5" x14ac:dyDescent="0.3">
      <c r="B27" s="6" t="s">
        <v>6</v>
      </c>
      <c r="C27" s="2">
        <v>55</v>
      </c>
      <c r="D27" s="2">
        <v>32</v>
      </c>
      <c r="E27" s="7">
        <v>153.96363636363637</v>
      </c>
    </row>
    <row r="28" spans="2:5" x14ac:dyDescent="0.3">
      <c r="B28" s="6" t="s">
        <v>27</v>
      </c>
      <c r="C28" s="2">
        <v>43</v>
      </c>
      <c r="D28" s="2">
        <v>20</v>
      </c>
      <c r="E28" s="7">
        <v>156.2093023255814</v>
      </c>
    </row>
    <row r="29" spans="2:5" x14ac:dyDescent="0.3">
      <c r="B29" s="6" t="s">
        <v>9</v>
      </c>
      <c r="C29" s="2">
        <v>60</v>
      </c>
      <c r="D29" s="2">
        <v>31</v>
      </c>
      <c r="E29" s="7">
        <v>160.66666666666666</v>
      </c>
    </row>
    <row r="30" spans="2:5" x14ac:dyDescent="0.3">
      <c r="B30" s="6" t="s">
        <v>43</v>
      </c>
      <c r="C30" s="2">
        <v>55</v>
      </c>
      <c r="D30" s="2">
        <v>32</v>
      </c>
      <c r="E30" s="7">
        <v>154.98181818181817</v>
      </c>
    </row>
    <row r="31" spans="2:5" x14ac:dyDescent="0.3">
      <c r="B31" s="6" t="s">
        <v>55</v>
      </c>
      <c r="C31" s="2">
        <v>61</v>
      </c>
      <c r="D31" s="2">
        <v>26</v>
      </c>
      <c r="E31" s="7">
        <v>163.03278688524591</v>
      </c>
    </row>
    <row r="32" spans="2:5" x14ac:dyDescent="0.3">
      <c r="B32" s="6" t="s">
        <v>39</v>
      </c>
      <c r="C32" s="2">
        <v>54</v>
      </c>
      <c r="D32" s="2">
        <v>25</v>
      </c>
      <c r="E32" s="7">
        <v>161.2962962962963</v>
      </c>
    </row>
    <row r="33" spans="2:5" x14ac:dyDescent="0.3">
      <c r="B33" s="5" t="s">
        <v>95</v>
      </c>
      <c r="C33" s="2">
        <v>1251</v>
      </c>
      <c r="D33" s="2">
        <v>607</v>
      </c>
      <c r="E33" s="7">
        <v>157.55155875299761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9081E-FFFC-4A30-B80E-CF913E731232}">
  <dimension ref="A1:L1252"/>
  <sheetViews>
    <sheetView workbookViewId="0">
      <selection activeCell="F7" sqref="F6:F7"/>
    </sheetView>
  </sheetViews>
  <sheetFormatPr defaultRowHeight="14.4" x14ac:dyDescent="0.3"/>
  <cols>
    <col min="1" max="1" width="8.44140625" bestFit="1" customWidth="1"/>
    <col min="2" max="2" width="13" bestFit="1" customWidth="1"/>
    <col min="3" max="3" width="16.109375" bestFit="1" customWidth="1"/>
    <col min="4" max="4" width="9.21875" bestFit="1" customWidth="1"/>
    <col min="5" max="5" width="16.6640625" bestFit="1" customWidth="1"/>
    <col min="6" max="6" width="25.44140625" bestFit="1" customWidth="1"/>
    <col min="7" max="7" width="24.77734375" bestFit="1" customWidth="1"/>
    <col min="8" max="8" width="24.5546875" bestFit="1" customWidth="1"/>
    <col min="9" max="9" width="12.44140625" bestFit="1" customWidth="1"/>
    <col min="10" max="10" width="14.44140625" bestFit="1" customWidth="1"/>
    <col min="11" max="11" width="16.33203125" bestFit="1" customWidth="1"/>
    <col min="12" max="12" width="15.109375" bestFit="1" customWidth="1"/>
  </cols>
  <sheetData>
    <row r="1" spans="1:12" x14ac:dyDescent="0.3">
      <c r="A1" t="s">
        <v>92</v>
      </c>
      <c r="B1" t="s">
        <v>90</v>
      </c>
      <c r="C1" t="s">
        <v>0</v>
      </c>
      <c r="D1" t="s">
        <v>63</v>
      </c>
      <c r="E1" t="s">
        <v>93</v>
      </c>
      <c r="F1" t="s">
        <v>60</v>
      </c>
      <c r="G1" t="s">
        <v>61</v>
      </c>
      <c r="H1" t="s">
        <v>62</v>
      </c>
      <c r="I1" t="s">
        <v>1</v>
      </c>
      <c r="J1" t="s">
        <v>2</v>
      </c>
      <c r="K1" t="s">
        <v>3</v>
      </c>
      <c r="L1" t="s">
        <v>91</v>
      </c>
    </row>
    <row r="2" spans="1:12" x14ac:dyDescent="0.3">
      <c r="A2">
        <v>1</v>
      </c>
      <c r="B2">
        <v>1</v>
      </c>
      <c r="C2" s="1">
        <v>44595</v>
      </c>
      <c r="D2" s="2" t="s">
        <v>64</v>
      </c>
      <c r="E2">
        <v>0</v>
      </c>
      <c r="F2">
        <v>17</v>
      </c>
      <c r="G2">
        <v>134</v>
      </c>
      <c r="H2">
        <v>165</v>
      </c>
      <c r="I2" t="str">
        <f>VLOOKUP(Call_Center_Data[[#This Row],[Emp ID]],Employee[],2,FALSE)</f>
        <v>Jill Simons</v>
      </c>
      <c r="J2" t="str">
        <f>VLOOKUP(Call_Center_Data[[#This Row],[Emp ID]], Employee[], 3, FALSE)</f>
        <v>Spokane, WA</v>
      </c>
      <c r="K2" t="str">
        <f>VLOOKUP(Call_Center_Data[[#This Row],[Emp ID]], Employee[], 4, FALSE)</f>
        <v>Jenny Rhodes</v>
      </c>
      <c r="L2" t="str">
        <f>VLOOKUP(Call_Center_Data[[#This Row],[Call Type ID]], Call_Type[], 2, FALSE)</f>
        <v>Billing</v>
      </c>
    </row>
    <row r="3" spans="1:12" x14ac:dyDescent="0.3">
      <c r="A3">
        <v>2</v>
      </c>
      <c r="B3">
        <v>1</v>
      </c>
      <c r="C3" s="1">
        <v>44596</v>
      </c>
      <c r="D3" s="2" t="s">
        <v>65</v>
      </c>
      <c r="E3">
        <v>0</v>
      </c>
      <c r="F3">
        <v>20</v>
      </c>
      <c r="G3">
        <v>142</v>
      </c>
      <c r="H3">
        <v>415</v>
      </c>
      <c r="I3" t="str">
        <f>VLOOKUP(Call_Center_Data[[#This Row],[Emp ID]],Employee[],2,FALSE)</f>
        <v>Ultor John</v>
      </c>
      <c r="J3" t="str">
        <f>VLOOKUP(Call_Center_Data[[#This Row],[Emp ID]], Employee[], 3, FALSE)</f>
        <v>Spokane, WA</v>
      </c>
      <c r="K3" t="str">
        <f>VLOOKUP(Call_Center_Data[[#This Row],[Emp ID]], Employee[], 4, FALSE)</f>
        <v>John Mack</v>
      </c>
      <c r="L3" t="str">
        <f>VLOOKUP(Call_Center_Data[[#This Row],[Call Type ID]], Call_Type[], 2, FALSE)</f>
        <v>Billing</v>
      </c>
    </row>
    <row r="4" spans="1:12" x14ac:dyDescent="0.3">
      <c r="A4">
        <v>3</v>
      </c>
      <c r="B4">
        <v>3</v>
      </c>
      <c r="C4" s="1">
        <v>44597</v>
      </c>
      <c r="D4" s="2" t="s">
        <v>66</v>
      </c>
      <c r="E4">
        <v>0</v>
      </c>
      <c r="F4">
        <v>18</v>
      </c>
      <c r="G4">
        <v>158</v>
      </c>
      <c r="H4">
        <v>230</v>
      </c>
      <c r="I4" t="str">
        <f>VLOOKUP(Call_Center_Data[[#This Row],[Emp ID]],Employee[],2,FALSE)</f>
        <v>Tina John</v>
      </c>
      <c r="J4" t="str">
        <f>VLOOKUP(Call_Center_Data[[#This Row],[Emp ID]], Employee[], 3, FALSE)</f>
        <v>Aurora, CO</v>
      </c>
      <c r="K4" t="str">
        <f>VLOOKUP(Call_Center_Data[[#This Row],[Emp ID]], Employee[], 4, FALSE)</f>
        <v>Timmy Rhodes</v>
      </c>
      <c r="L4" t="str">
        <f>VLOOKUP(Call_Center_Data[[#This Row],[Call Type ID]], Call_Type[], 2, FALSE)</f>
        <v>Tech Sup</v>
      </c>
    </row>
    <row r="5" spans="1:12" x14ac:dyDescent="0.3">
      <c r="A5">
        <v>4</v>
      </c>
      <c r="B5">
        <v>1</v>
      </c>
      <c r="C5" s="1">
        <v>44598</v>
      </c>
      <c r="D5" s="2" t="s">
        <v>67</v>
      </c>
      <c r="E5">
        <v>1</v>
      </c>
      <c r="F5">
        <v>15</v>
      </c>
      <c r="G5">
        <v>149</v>
      </c>
      <c r="H5">
        <v>192</v>
      </c>
      <c r="I5" t="str">
        <f>VLOOKUP(Call_Center_Data[[#This Row],[Emp ID]],Employee[],2,FALSE)</f>
        <v>Tina Pat</v>
      </c>
      <c r="J5" t="str">
        <f>VLOOKUP(Call_Center_Data[[#This Row],[Emp ID]], Employee[], 3, FALSE)</f>
        <v>Jacksonville, WA</v>
      </c>
      <c r="K5" t="str">
        <f>VLOOKUP(Call_Center_Data[[#This Row],[Emp ID]], Employee[], 4, FALSE)</f>
        <v>John Hall</v>
      </c>
      <c r="L5" t="str">
        <f>VLOOKUP(Call_Center_Data[[#This Row],[Call Type ID]], Call_Type[], 2, FALSE)</f>
        <v>Billing</v>
      </c>
    </row>
    <row r="6" spans="1:12" x14ac:dyDescent="0.3">
      <c r="A6">
        <v>5</v>
      </c>
      <c r="B6">
        <v>3</v>
      </c>
      <c r="C6" s="1">
        <v>44599</v>
      </c>
      <c r="D6" s="2" t="s">
        <v>68</v>
      </c>
      <c r="E6">
        <v>0</v>
      </c>
      <c r="F6">
        <v>3</v>
      </c>
      <c r="G6">
        <v>126</v>
      </c>
      <c r="H6">
        <v>35</v>
      </c>
      <c r="I6" t="str">
        <f>VLOOKUP(Call_Center_Data[[#This Row],[Emp ID]],Employee[],2,FALSE)</f>
        <v>Tina Saab</v>
      </c>
      <c r="J6" t="str">
        <f>VLOOKUP(Call_Center_Data[[#This Row],[Emp ID]], Employee[], 3, FALSE)</f>
        <v>Spokane, WA</v>
      </c>
      <c r="K6" t="str">
        <f>VLOOKUP(Call_Center_Data[[#This Row],[Emp ID]], Employee[], 4, FALSE)</f>
        <v>Henry Baas</v>
      </c>
      <c r="L6" t="str">
        <f>VLOOKUP(Call_Center_Data[[#This Row],[Call Type ID]], Call_Type[], 2, FALSE)</f>
        <v>Tech Sup</v>
      </c>
    </row>
    <row r="7" spans="1:12" x14ac:dyDescent="0.3">
      <c r="A7">
        <v>6</v>
      </c>
      <c r="B7">
        <v>2</v>
      </c>
      <c r="C7" s="1">
        <v>44600</v>
      </c>
      <c r="D7" s="2" t="s">
        <v>69</v>
      </c>
      <c r="E7">
        <v>0</v>
      </c>
      <c r="F7">
        <v>18</v>
      </c>
      <c r="G7">
        <v>95</v>
      </c>
      <c r="H7">
        <v>157</v>
      </c>
      <c r="I7" t="str">
        <f>VLOOKUP(Call_Center_Data[[#This Row],[Emp ID]],Employee[],2,FALSE)</f>
        <v>Sam Gilder</v>
      </c>
      <c r="J7" t="str">
        <f>VLOOKUP(Call_Center_Data[[#This Row],[Emp ID]], Employee[], 3, FALSE)</f>
        <v>Jacksonville, WA</v>
      </c>
      <c r="K7" t="str">
        <f>VLOOKUP(Call_Center_Data[[#This Row],[Emp ID]], Employee[], 4, FALSE)</f>
        <v>Timmy Hall</v>
      </c>
      <c r="L7" t="str">
        <f>VLOOKUP(Call_Center_Data[[#This Row],[Call Type ID]], Call_Type[], 2, FALSE)</f>
        <v>Sales</v>
      </c>
    </row>
    <row r="8" spans="1:12" x14ac:dyDescent="0.3">
      <c r="A8">
        <v>7</v>
      </c>
      <c r="B8">
        <v>2</v>
      </c>
      <c r="C8" s="1">
        <v>44601</v>
      </c>
      <c r="D8" s="2" t="s">
        <v>70</v>
      </c>
      <c r="E8">
        <v>1</v>
      </c>
      <c r="F8">
        <v>13</v>
      </c>
      <c r="G8">
        <v>110</v>
      </c>
      <c r="H8">
        <v>122</v>
      </c>
      <c r="I8" t="str">
        <f>VLOOKUP(Call_Center_Data[[#This Row],[Emp ID]],Employee[],2,FALSE)</f>
        <v>Jill Pat</v>
      </c>
      <c r="J8" t="str">
        <f>VLOOKUP(Call_Center_Data[[#This Row],[Emp ID]], Employee[], 3, FALSE)</f>
        <v>Aurora, CO</v>
      </c>
      <c r="K8" t="str">
        <f>VLOOKUP(Call_Center_Data[[#This Row],[Emp ID]], Employee[], 4, FALSE)</f>
        <v>Henry Rhodes</v>
      </c>
      <c r="L8" t="str">
        <f>VLOOKUP(Call_Center_Data[[#This Row],[Call Type ID]], Call_Type[], 2, FALSE)</f>
        <v>Sales</v>
      </c>
    </row>
    <row r="9" spans="1:12" x14ac:dyDescent="0.3">
      <c r="A9">
        <v>8</v>
      </c>
      <c r="B9">
        <v>3</v>
      </c>
      <c r="C9" s="1">
        <v>44602</v>
      </c>
      <c r="D9" s="2" t="s">
        <v>71</v>
      </c>
      <c r="E9">
        <v>1</v>
      </c>
      <c r="F9">
        <v>10</v>
      </c>
      <c r="G9">
        <v>130</v>
      </c>
      <c r="H9">
        <v>202</v>
      </c>
      <c r="I9" t="str">
        <f>VLOOKUP(Call_Center_Data[[#This Row],[Emp ID]],Employee[],2,FALSE)</f>
        <v>Sam Pat</v>
      </c>
      <c r="J9" t="str">
        <f>VLOOKUP(Call_Center_Data[[#This Row],[Emp ID]], Employee[], 3, FALSE)</f>
        <v>Aurora, CO</v>
      </c>
      <c r="K9" t="str">
        <f>VLOOKUP(Call_Center_Data[[#This Row],[Emp ID]], Employee[], 4, FALSE)</f>
        <v>Henry Mack</v>
      </c>
      <c r="L9" t="str">
        <f>VLOOKUP(Call_Center_Data[[#This Row],[Call Type ID]], Call_Type[], 2, FALSE)</f>
        <v>Tech Sup</v>
      </c>
    </row>
    <row r="10" spans="1:12" x14ac:dyDescent="0.3">
      <c r="A10">
        <v>9</v>
      </c>
      <c r="B10">
        <v>1</v>
      </c>
      <c r="C10" s="1">
        <v>44603</v>
      </c>
      <c r="D10" s="2" t="s">
        <v>72</v>
      </c>
      <c r="E10">
        <v>0</v>
      </c>
      <c r="F10">
        <v>15</v>
      </c>
      <c r="G10">
        <v>138</v>
      </c>
      <c r="H10">
        <v>372</v>
      </c>
      <c r="I10" t="str">
        <f>VLOOKUP(Call_Center_Data[[#This Row],[Emp ID]],Employee[],2,FALSE)</f>
        <v>Ultor Pat</v>
      </c>
      <c r="J10" t="str">
        <f>VLOOKUP(Call_Center_Data[[#This Row],[Emp ID]], Employee[], 3, FALSE)</f>
        <v>Jacksonville, WA</v>
      </c>
      <c r="K10" t="str">
        <f>VLOOKUP(Call_Center_Data[[#This Row],[Emp ID]], Employee[], 4, FALSE)</f>
        <v>Jenny Hall</v>
      </c>
      <c r="L10" t="str">
        <f>VLOOKUP(Call_Center_Data[[#This Row],[Call Type ID]], Call_Type[], 2, FALSE)</f>
        <v>Billing</v>
      </c>
    </row>
    <row r="11" spans="1:12" x14ac:dyDescent="0.3">
      <c r="A11">
        <v>10</v>
      </c>
      <c r="B11">
        <v>3</v>
      </c>
      <c r="C11" s="1">
        <v>44604</v>
      </c>
      <c r="D11" s="2" t="s">
        <v>72</v>
      </c>
      <c r="E11">
        <v>1</v>
      </c>
      <c r="F11">
        <v>19</v>
      </c>
      <c r="G11">
        <v>100</v>
      </c>
      <c r="H11">
        <v>209</v>
      </c>
      <c r="I11" t="str">
        <f>VLOOKUP(Call_Center_Data[[#This Row],[Emp ID]],Employee[],2,FALSE)</f>
        <v>Ultor Pat</v>
      </c>
      <c r="J11" t="str">
        <f>VLOOKUP(Call_Center_Data[[#This Row],[Emp ID]], Employee[], 3, FALSE)</f>
        <v>Jacksonville, WA</v>
      </c>
      <c r="K11" t="str">
        <f>VLOOKUP(Call_Center_Data[[#This Row],[Emp ID]], Employee[], 4, FALSE)</f>
        <v>Jenny Hall</v>
      </c>
      <c r="L11" t="str">
        <f>VLOOKUP(Call_Center_Data[[#This Row],[Call Type ID]], Call_Type[], 2, FALSE)</f>
        <v>Tech Sup</v>
      </c>
    </row>
    <row r="12" spans="1:12" x14ac:dyDescent="0.3">
      <c r="A12">
        <v>11</v>
      </c>
      <c r="B12">
        <v>1</v>
      </c>
      <c r="C12" s="1">
        <v>44605</v>
      </c>
      <c r="D12" s="2" t="s">
        <v>71</v>
      </c>
      <c r="E12">
        <v>0</v>
      </c>
      <c r="F12">
        <v>12</v>
      </c>
      <c r="G12">
        <v>130</v>
      </c>
      <c r="H12">
        <v>166</v>
      </c>
      <c r="I12" t="str">
        <f>VLOOKUP(Call_Center_Data[[#This Row],[Emp ID]],Employee[],2,FALSE)</f>
        <v>Sam Pat</v>
      </c>
      <c r="J12" t="str">
        <f>VLOOKUP(Call_Center_Data[[#This Row],[Emp ID]], Employee[], 3, FALSE)</f>
        <v>Aurora, CO</v>
      </c>
      <c r="K12" t="str">
        <f>VLOOKUP(Call_Center_Data[[#This Row],[Emp ID]], Employee[], 4, FALSE)</f>
        <v>Henry Mack</v>
      </c>
      <c r="L12" t="str">
        <f>VLOOKUP(Call_Center_Data[[#This Row],[Call Type ID]], Call_Type[], 2, FALSE)</f>
        <v>Billing</v>
      </c>
    </row>
    <row r="13" spans="1:12" x14ac:dyDescent="0.3">
      <c r="A13">
        <v>12</v>
      </c>
      <c r="B13">
        <v>1</v>
      </c>
      <c r="C13" s="1">
        <v>44606</v>
      </c>
      <c r="D13" s="2" t="s">
        <v>64</v>
      </c>
      <c r="E13">
        <v>0</v>
      </c>
      <c r="F13">
        <v>2</v>
      </c>
      <c r="G13">
        <v>123</v>
      </c>
      <c r="H13">
        <v>3</v>
      </c>
      <c r="I13" t="str">
        <f>VLOOKUP(Call_Center_Data[[#This Row],[Emp ID]],Employee[],2,FALSE)</f>
        <v>Jill Simons</v>
      </c>
      <c r="J13" t="str">
        <f>VLOOKUP(Call_Center_Data[[#This Row],[Emp ID]], Employee[], 3, FALSE)</f>
        <v>Spokane, WA</v>
      </c>
      <c r="K13" t="str">
        <f>VLOOKUP(Call_Center_Data[[#This Row],[Emp ID]], Employee[], 4, FALSE)</f>
        <v>Jenny Rhodes</v>
      </c>
      <c r="L13" t="str">
        <f>VLOOKUP(Call_Center_Data[[#This Row],[Call Type ID]], Call_Type[], 2, FALSE)</f>
        <v>Billing</v>
      </c>
    </row>
    <row r="14" spans="1:12" x14ac:dyDescent="0.3">
      <c r="A14">
        <v>13</v>
      </c>
      <c r="B14">
        <v>1</v>
      </c>
      <c r="C14" s="1">
        <v>44607</v>
      </c>
      <c r="D14" s="2" t="s">
        <v>73</v>
      </c>
      <c r="E14">
        <v>1</v>
      </c>
      <c r="F14">
        <v>8</v>
      </c>
      <c r="G14">
        <v>109</v>
      </c>
      <c r="H14">
        <v>138</v>
      </c>
      <c r="I14" t="str">
        <f>VLOOKUP(Call_Center_Data[[#This Row],[Emp ID]],Employee[],2,FALSE)</f>
        <v>Jill John</v>
      </c>
      <c r="J14" t="str">
        <f>VLOOKUP(Call_Center_Data[[#This Row],[Emp ID]], Employee[], 3, FALSE)</f>
        <v>Spokane, WA</v>
      </c>
      <c r="K14" t="str">
        <f>VLOOKUP(Call_Center_Data[[#This Row],[Emp ID]], Employee[], 4, FALSE)</f>
        <v>John Gill</v>
      </c>
      <c r="L14" t="str">
        <f>VLOOKUP(Call_Center_Data[[#This Row],[Call Type ID]], Call_Type[], 2, FALSE)</f>
        <v>Billing</v>
      </c>
    </row>
    <row r="15" spans="1:12" x14ac:dyDescent="0.3">
      <c r="A15">
        <v>14</v>
      </c>
      <c r="B15">
        <v>2</v>
      </c>
      <c r="C15" s="1">
        <v>44608</v>
      </c>
      <c r="D15" s="2" t="s">
        <v>74</v>
      </c>
      <c r="E15">
        <v>1</v>
      </c>
      <c r="F15">
        <v>7</v>
      </c>
      <c r="G15">
        <v>112</v>
      </c>
      <c r="H15">
        <v>168</v>
      </c>
      <c r="I15" t="str">
        <f>VLOOKUP(Call_Center_Data[[#This Row],[Emp ID]],Employee[],2,FALSE)</f>
        <v>Gina John</v>
      </c>
      <c r="J15" t="str">
        <f>VLOOKUP(Call_Center_Data[[#This Row],[Emp ID]], Employee[], 3, FALSE)</f>
        <v>Jacksonville, WA</v>
      </c>
      <c r="K15" t="str">
        <f>VLOOKUP(Call_Center_Data[[#This Row],[Emp ID]], Employee[], 4, FALSE)</f>
        <v>Henry Gill</v>
      </c>
      <c r="L15" t="str">
        <f>VLOOKUP(Call_Center_Data[[#This Row],[Call Type ID]], Call_Type[], 2, FALSE)</f>
        <v>Sales</v>
      </c>
    </row>
    <row r="16" spans="1:12" x14ac:dyDescent="0.3">
      <c r="A16">
        <v>15</v>
      </c>
      <c r="B16">
        <v>3</v>
      </c>
      <c r="C16" s="1">
        <v>44609</v>
      </c>
      <c r="D16" s="2" t="s">
        <v>75</v>
      </c>
      <c r="E16">
        <v>0</v>
      </c>
      <c r="F16">
        <v>13</v>
      </c>
      <c r="G16">
        <v>111</v>
      </c>
      <c r="H16">
        <v>220</v>
      </c>
      <c r="I16" t="str">
        <f>VLOOKUP(Call_Center_Data[[#This Row],[Emp ID]],Employee[],2,FALSE)</f>
        <v>Gina Pat</v>
      </c>
      <c r="J16" t="str">
        <f>VLOOKUP(Call_Center_Data[[#This Row],[Emp ID]], Employee[], 3, FALSE)</f>
        <v>Spokane, WA</v>
      </c>
      <c r="K16" t="str">
        <f>VLOOKUP(Call_Center_Data[[#This Row],[Emp ID]], Employee[], 4, FALSE)</f>
        <v>Henry Hall</v>
      </c>
      <c r="L16" t="str">
        <f>VLOOKUP(Call_Center_Data[[#This Row],[Call Type ID]], Call_Type[], 2, FALSE)</f>
        <v>Tech Sup</v>
      </c>
    </row>
    <row r="17" spans="1:12" x14ac:dyDescent="0.3">
      <c r="A17">
        <v>16</v>
      </c>
      <c r="B17">
        <v>3</v>
      </c>
      <c r="C17" s="1">
        <v>44610</v>
      </c>
      <c r="D17" s="2" t="s">
        <v>64</v>
      </c>
      <c r="E17">
        <v>0</v>
      </c>
      <c r="F17">
        <v>13</v>
      </c>
      <c r="G17">
        <v>138</v>
      </c>
      <c r="H17">
        <v>206</v>
      </c>
      <c r="I17" t="str">
        <f>VLOOKUP(Call_Center_Data[[#This Row],[Emp ID]],Employee[],2,FALSE)</f>
        <v>Jill Simons</v>
      </c>
      <c r="J17" t="str">
        <f>VLOOKUP(Call_Center_Data[[#This Row],[Emp ID]], Employee[], 3, FALSE)</f>
        <v>Spokane, WA</v>
      </c>
      <c r="K17" t="str">
        <f>VLOOKUP(Call_Center_Data[[#This Row],[Emp ID]], Employee[], 4, FALSE)</f>
        <v>Jenny Rhodes</v>
      </c>
      <c r="L17" t="str">
        <f>VLOOKUP(Call_Center_Data[[#This Row],[Call Type ID]], Call_Type[], 2, FALSE)</f>
        <v>Tech Sup</v>
      </c>
    </row>
    <row r="18" spans="1:12" x14ac:dyDescent="0.3">
      <c r="A18">
        <v>17</v>
      </c>
      <c r="B18">
        <v>1</v>
      </c>
      <c r="C18" s="1">
        <v>44611</v>
      </c>
      <c r="D18" s="2" t="s">
        <v>70</v>
      </c>
      <c r="E18">
        <v>0</v>
      </c>
      <c r="F18">
        <v>20</v>
      </c>
      <c r="G18">
        <v>124</v>
      </c>
      <c r="H18">
        <v>293</v>
      </c>
      <c r="I18" t="str">
        <f>VLOOKUP(Call_Center_Data[[#This Row],[Emp ID]],Employee[],2,FALSE)</f>
        <v>Jill Pat</v>
      </c>
      <c r="J18" t="str">
        <f>VLOOKUP(Call_Center_Data[[#This Row],[Emp ID]], Employee[], 3, FALSE)</f>
        <v>Aurora, CO</v>
      </c>
      <c r="K18" t="str">
        <f>VLOOKUP(Call_Center_Data[[#This Row],[Emp ID]], Employee[], 4, FALSE)</f>
        <v>Henry Rhodes</v>
      </c>
      <c r="L18" t="str">
        <f>VLOOKUP(Call_Center_Data[[#This Row],[Call Type ID]], Call_Type[], 2, FALSE)</f>
        <v>Billing</v>
      </c>
    </row>
    <row r="19" spans="1:12" x14ac:dyDescent="0.3">
      <c r="A19">
        <v>18</v>
      </c>
      <c r="B19">
        <v>2</v>
      </c>
      <c r="C19" s="1">
        <v>44612</v>
      </c>
      <c r="D19" s="2" t="s">
        <v>76</v>
      </c>
      <c r="E19">
        <v>1</v>
      </c>
      <c r="F19">
        <v>10</v>
      </c>
      <c r="G19">
        <v>123</v>
      </c>
      <c r="H19">
        <v>165</v>
      </c>
      <c r="I19" t="str">
        <f>VLOOKUP(Call_Center_Data[[#This Row],[Emp ID]],Employee[],2,FALSE)</f>
        <v>Ultor Saab</v>
      </c>
      <c r="J19" t="str">
        <f>VLOOKUP(Call_Center_Data[[#This Row],[Emp ID]], Employee[], 3, FALSE)</f>
        <v>Aurora, CO</v>
      </c>
      <c r="K19" t="str">
        <f>VLOOKUP(Call_Center_Data[[#This Row],[Emp ID]], Employee[], 4, FALSE)</f>
        <v>Pierce Baas</v>
      </c>
      <c r="L19" t="str">
        <f>VLOOKUP(Call_Center_Data[[#This Row],[Call Type ID]], Call_Type[], 2, FALSE)</f>
        <v>Sales</v>
      </c>
    </row>
    <row r="20" spans="1:12" x14ac:dyDescent="0.3">
      <c r="A20">
        <v>19</v>
      </c>
      <c r="B20">
        <v>3</v>
      </c>
      <c r="C20" s="1">
        <v>44613</v>
      </c>
      <c r="D20" s="2" t="s">
        <v>77</v>
      </c>
      <c r="E20">
        <v>0</v>
      </c>
      <c r="F20">
        <v>2</v>
      </c>
      <c r="G20">
        <v>124</v>
      </c>
      <c r="H20">
        <v>55</v>
      </c>
      <c r="I20" t="str">
        <f>VLOOKUP(Call_Center_Data[[#This Row],[Emp ID]],Employee[],2,FALSE)</f>
        <v>Sam Saab</v>
      </c>
      <c r="J20" t="str">
        <f>VLOOKUP(Call_Center_Data[[#This Row],[Emp ID]], Employee[], 3, FALSE)</f>
        <v>Aurora, CO</v>
      </c>
      <c r="K20" t="str">
        <f>VLOOKUP(Call_Center_Data[[#This Row],[Emp ID]], Employee[], 4, FALSE)</f>
        <v>Timmy Mack</v>
      </c>
      <c r="L20" t="str">
        <f>VLOOKUP(Call_Center_Data[[#This Row],[Call Type ID]], Call_Type[], 2, FALSE)</f>
        <v>Tech Sup</v>
      </c>
    </row>
    <row r="21" spans="1:12" x14ac:dyDescent="0.3">
      <c r="A21">
        <v>20</v>
      </c>
      <c r="B21">
        <v>2</v>
      </c>
      <c r="C21" s="1">
        <v>44614</v>
      </c>
      <c r="D21" s="2" t="s">
        <v>78</v>
      </c>
      <c r="E21">
        <v>1</v>
      </c>
      <c r="F21">
        <v>26</v>
      </c>
      <c r="G21">
        <v>163</v>
      </c>
      <c r="H21">
        <v>388</v>
      </c>
      <c r="I21" t="str">
        <f>VLOOKUP(Call_Center_Data[[#This Row],[Emp ID]],Employee[],2,FALSE)</f>
        <v>Jill Saab</v>
      </c>
      <c r="J21" t="str">
        <f>VLOOKUP(Call_Center_Data[[#This Row],[Emp ID]], Employee[], 3, FALSE)</f>
        <v>Spokane, WA</v>
      </c>
      <c r="K21" t="str">
        <f>VLOOKUP(Call_Center_Data[[#This Row],[Emp ID]], Employee[], 4, FALSE)</f>
        <v>Timmy Gill</v>
      </c>
      <c r="L21" t="str">
        <f>VLOOKUP(Call_Center_Data[[#This Row],[Call Type ID]], Call_Type[], 2, FALSE)</f>
        <v>Sales</v>
      </c>
    </row>
    <row r="22" spans="1:12" x14ac:dyDescent="0.3">
      <c r="A22">
        <v>21</v>
      </c>
      <c r="B22">
        <v>3</v>
      </c>
      <c r="C22" s="1">
        <v>44615</v>
      </c>
      <c r="D22" s="2" t="s">
        <v>79</v>
      </c>
      <c r="E22">
        <v>1</v>
      </c>
      <c r="F22">
        <v>15</v>
      </c>
      <c r="G22">
        <v>136</v>
      </c>
      <c r="H22">
        <v>279</v>
      </c>
      <c r="I22" t="str">
        <f>VLOOKUP(Call_Center_Data[[#This Row],[Emp ID]],Employee[],2,FALSE)</f>
        <v>Gina Simons</v>
      </c>
      <c r="J22" t="str">
        <f>VLOOKUP(Call_Center_Data[[#This Row],[Emp ID]], Employee[], 3, FALSE)</f>
        <v>Spokane, WA</v>
      </c>
      <c r="K22" t="str">
        <f>VLOOKUP(Call_Center_Data[[#This Row],[Emp ID]], Employee[], 4, FALSE)</f>
        <v>John Rhodes</v>
      </c>
      <c r="L22" t="str">
        <f>VLOOKUP(Call_Center_Data[[#This Row],[Call Type ID]], Call_Type[], 2, FALSE)</f>
        <v>Tech Sup</v>
      </c>
    </row>
    <row r="23" spans="1:12" x14ac:dyDescent="0.3">
      <c r="A23">
        <v>22</v>
      </c>
      <c r="B23">
        <v>3</v>
      </c>
      <c r="C23" s="1">
        <v>44616</v>
      </c>
      <c r="D23" s="2" t="s">
        <v>78</v>
      </c>
      <c r="E23">
        <v>0</v>
      </c>
      <c r="F23">
        <v>10</v>
      </c>
      <c r="G23">
        <v>129</v>
      </c>
      <c r="H23">
        <v>220</v>
      </c>
      <c r="I23" t="str">
        <f>VLOOKUP(Call_Center_Data[[#This Row],[Emp ID]],Employee[],2,FALSE)</f>
        <v>Jill Saab</v>
      </c>
      <c r="J23" t="str">
        <f>VLOOKUP(Call_Center_Data[[#This Row],[Emp ID]], Employee[], 3, FALSE)</f>
        <v>Spokane, WA</v>
      </c>
      <c r="K23" t="str">
        <f>VLOOKUP(Call_Center_Data[[#This Row],[Emp ID]], Employee[], 4, FALSE)</f>
        <v>Timmy Gill</v>
      </c>
      <c r="L23" t="str">
        <f>VLOOKUP(Call_Center_Data[[#This Row],[Call Type ID]], Call_Type[], 2, FALSE)</f>
        <v>Tech Sup</v>
      </c>
    </row>
    <row r="24" spans="1:12" x14ac:dyDescent="0.3">
      <c r="A24">
        <v>23</v>
      </c>
      <c r="B24">
        <v>2</v>
      </c>
      <c r="C24" s="1">
        <v>44617</v>
      </c>
      <c r="D24" s="2" t="s">
        <v>80</v>
      </c>
      <c r="E24">
        <v>0</v>
      </c>
      <c r="F24">
        <v>15</v>
      </c>
      <c r="G24">
        <v>145</v>
      </c>
      <c r="H24">
        <v>189</v>
      </c>
      <c r="I24" t="str">
        <f>VLOOKUP(Call_Center_Data[[#This Row],[Emp ID]],Employee[],2,FALSE)</f>
        <v>Tina Simons</v>
      </c>
      <c r="J24" t="str">
        <f>VLOOKUP(Call_Center_Data[[#This Row],[Emp ID]], Employee[], 3, FALSE)</f>
        <v>Aurora, CO</v>
      </c>
      <c r="K24" t="str">
        <f>VLOOKUP(Call_Center_Data[[#This Row],[Emp ID]], Employee[], 4, FALSE)</f>
        <v>Pierce Gill</v>
      </c>
      <c r="L24" t="str">
        <f>VLOOKUP(Call_Center_Data[[#This Row],[Call Type ID]], Call_Type[], 2, FALSE)</f>
        <v>Sales</v>
      </c>
    </row>
    <row r="25" spans="1:12" x14ac:dyDescent="0.3">
      <c r="A25">
        <v>24</v>
      </c>
      <c r="B25">
        <v>2</v>
      </c>
      <c r="C25" s="1">
        <v>44618</v>
      </c>
      <c r="D25" s="2" t="s">
        <v>66</v>
      </c>
      <c r="E25">
        <v>1</v>
      </c>
      <c r="F25">
        <v>10</v>
      </c>
      <c r="G25">
        <v>147</v>
      </c>
      <c r="H25">
        <v>216</v>
      </c>
      <c r="I25" t="str">
        <f>VLOOKUP(Call_Center_Data[[#This Row],[Emp ID]],Employee[],2,FALSE)</f>
        <v>Tina John</v>
      </c>
      <c r="J25" t="str">
        <f>VLOOKUP(Call_Center_Data[[#This Row],[Emp ID]], Employee[], 3, FALSE)</f>
        <v>Aurora, CO</v>
      </c>
      <c r="K25" t="str">
        <f>VLOOKUP(Call_Center_Data[[#This Row],[Emp ID]], Employee[], 4, FALSE)</f>
        <v>Timmy Rhodes</v>
      </c>
      <c r="L25" t="str">
        <f>VLOOKUP(Call_Center_Data[[#This Row],[Call Type ID]], Call_Type[], 2, FALSE)</f>
        <v>Sales</v>
      </c>
    </row>
    <row r="26" spans="1:12" x14ac:dyDescent="0.3">
      <c r="A26">
        <v>25</v>
      </c>
      <c r="B26">
        <v>3</v>
      </c>
      <c r="C26" s="1">
        <v>44619</v>
      </c>
      <c r="D26" s="2" t="s">
        <v>81</v>
      </c>
      <c r="E26">
        <v>1</v>
      </c>
      <c r="F26">
        <v>18</v>
      </c>
      <c r="G26">
        <v>146</v>
      </c>
      <c r="H26">
        <v>278</v>
      </c>
      <c r="I26" t="str">
        <f>VLOOKUP(Call_Center_Data[[#This Row],[Emp ID]],Employee[],2,FALSE)</f>
        <v>Sam Simons</v>
      </c>
      <c r="J26" t="str">
        <f>VLOOKUP(Call_Center_Data[[#This Row],[Emp ID]], Employee[], 3, FALSE)</f>
        <v>Jacksonville, WA</v>
      </c>
      <c r="K26" t="str">
        <f>VLOOKUP(Call_Center_Data[[#This Row],[Emp ID]], Employee[], 4, FALSE)</f>
        <v>John Baas</v>
      </c>
      <c r="L26" t="str">
        <f>VLOOKUP(Call_Center_Data[[#This Row],[Call Type ID]], Call_Type[], 2, FALSE)</f>
        <v>Tech Sup</v>
      </c>
    </row>
    <row r="27" spans="1:12" x14ac:dyDescent="0.3">
      <c r="A27">
        <v>26</v>
      </c>
      <c r="B27">
        <v>1</v>
      </c>
      <c r="C27" s="1">
        <v>44620</v>
      </c>
      <c r="D27" s="2" t="s">
        <v>82</v>
      </c>
      <c r="E27">
        <v>1</v>
      </c>
      <c r="F27">
        <v>4</v>
      </c>
      <c r="G27">
        <v>146</v>
      </c>
      <c r="H27">
        <v>58</v>
      </c>
      <c r="I27" t="str">
        <f>VLOOKUP(Call_Center_Data[[#This Row],[Emp ID]],Employee[],2,FALSE)</f>
        <v>Ultor Gilder</v>
      </c>
      <c r="J27" t="str">
        <f>VLOOKUP(Call_Center_Data[[#This Row],[Emp ID]], Employee[], 3, FALSE)</f>
        <v>Aurora, CO</v>
      </c>
      <c r="K27" t="str">
        <f>VLOOKUP(Call_Center_Data[[#This Row],[Emp ID]], Employee[], 4, FALSE)</f>
        <v>Pierce Mack</v>
      </c>
      <c r="L27" t="str">
        <f>VLOOKUP(Call_Center_Data[[#This Row],[Call Type ID]], Call_Type[], 2, FALSE)</f>
        <v>Billing</v>
      </c>
    </row>
    <row r="28" spans="1:12" x14ac:dyDescent="0.3">
      <c r="A28">
        <v>27</v>
      </c>
      <c r="B28">
        <v>2</v>
      </c>
      <c r="C28" s="1">
        <v>44621</v>
      </c>
      <c r="D28" s="2" t="s">
        <v>68</v>
      </c>
      <c r="E28">
        <v>0</v>
      </c>
      <c r="F28">
        <v>10</v>
      </c>
      <c r="G28">
        <v>143</v>
      </c>
      <c r="H28">
        <v>165</v>
      </c>
      <c r="I28" t="str">
        <f>VLOOKUP(Call_Center_Data[[#This Row],[Emp ID]],Employee[],2,FALSE)</f>
        <v>Tina Saab</v>
      </c>
      <c r="J28" t="str">
        <f>VLOOKUP(Call_Center_Data[[#This Row],[Emp ID]], Employee[], 3, FALSE)</f>
        <v>Spokane, WA</v>
      </c>
      <c r="K28" t="str">
        <f>VLOOKUP(Call_Center_Data[[#This Row],[Emp ID]], Employee[], 4, FALSE)</f>
        <v>Henry Baas</v>
      </c>
      <c r="L28" t="str">
        <f>VLOOKUP(Call_Center_Data[[#This Row],[Call Type ID]], Call_Type[], 2, FALSE)</f>
        <v>Sales</v>
      </c>
    </row>
    <row r="29" spans="1:12" x14ac:dyDescent="0.3">
      <c r="A29">
        <v>28</v>
      </c>
      <c r="B29">
        <v>2</v>
      </c>
      <c r="C29" s="1">
        <v>44622</v>
      </c>
      <c r="D29" s="2" t="s">
        <v>68</v>
      </c>
      <c r="E29">
        <v>0</v>
      </c>
      <c r="F29">
        <v>32</v>
      </c>
      <c r="G29">
        <v>163</v>
      </c>
      <c r="H29">
        <v>280</v>
      </c>
      <c r="I29" t="str">
        <f>VLOOKUP(Call_Center_Data[[#This Row],[Emp ID]],Employee[],2,FALSE)</f>
        <v>Tina Saab</v>
      </c>
      <c r="J29" t="str">
        <f>VLOOKUP(Call_Center_Data[[#This Row],[Emp ID]], Employee[], 3, FALSE)</f>
        <v>Spokane, WA</v>
      </c>
      <c r="K29" t="str">
        <f>VLOOKUP(Call_Center_Data[[#This Row],[Emp ID]], Employee[], 4, FALSE)</f>
        <v>Henry Baas</v>
      </c>
      <c r="L29" t="str">
        <f>VLOOKUP(Call_Center_Data[[#This Row],[Call Type ID]], Call_Type[], 2, FALSE)</f>
        <v>Sales</v>
      </c>
    </row>
    <row r="30" spans="1:12" x14ac:dyDescent="0.3">
      <c r="A30">
        <v>29</v>
      </c>
      <c r="B30">
        <v>1</v>
      </c>
      <c r="C30" s="1">
        <v>44623</v>
      </c>
      <c r="D30" s="2" t="s">
        <v>75</v>
      </c>
      <c r="E30">
        <v>0</v>
      </c>
      <c r="F30">
        <v>23</v>
      </c>
      <c r="G30">
        <v>151</v>
      </c>
      <c r="H30">
        <v>345</v>
      </c>
      <c r="I30" t="str">
        <f>VLOOKUP(Call_Center_Data[[#This Row],[Emp ID]],Employee[],2,FALSE)</f>
        <v>Gina Pat</v>
      </c>
      <c r="J30" t="str">
        <f>VLOOKUP(Call_Center_Data[[#This Row],[Emp ID]], Employee[], 3, FALSE)</f>
        <v>Spokane, WA</v>
      </c>
      <c r="K30" t="str">
        <f>VLOOKUP(Call_Center_Data[[#This Row],[Emp ID]], Employee[], 4, FALSE)</f>
        <v>Henry Hall</v>
      </c>
      <c r="L30" t="str">
        <f>VLOOKUP(Call_Center_Data[[#This Row],[Call Type ID]], Call_Type[], 2, FALSE)</f>
        <v>Billing</v>
      </c>
    </row>
    <row r="31" spans="1:12" x14ac:dyDescent="0.3">
      <c r="A31">
        <v>30</v>
      </c>
      <c r="B31">
        <v>2</v>
      </c>
      <c r="C31" s="1">
        <v>44624</v>
      </c>
      <c r="D31" s="2" t="s">
        <v>64</v>
      </c>
      <c r="E31">
        <v>1</v>
      </c>
      <c r="F31">
        <v>26</v>
      </c>
      <c r="G31">
        <v>136</v>
      </c>
      <c r="H31">
        <v>335</v>
      </c>
      <c r="I31" t="str">
        <f>VLOOKUP(Call_Center_Data[[#This Row],[Emp ID]],Employee[],2,FALSE)</f>
        <v>Jill Simons</v>
      </c>
      <c r="J31" t="str">
        <f>VLOOKUP(Call_Center_Data[[#This Row],[Emp ID]], Employee[], 3, FALSE)</f>
        <v>Spokane, WA</v>
      </c>
      <c r="K31" t="str">
        <f>VLOOKUP(Call_Center_Data[[#This Row],[Emp ID]], Employee[], 4, FALSE)</f>
        <v>Jenny Rhodes</v>
      </c>
      <c r="L31" t="str">
        <f>VLOOKUP(Call_Center_Data[[#This Row],[Call Type ID]], Call_Type[], 2, FALSE)</f>
        <v>Sales</v>
      </c>
    </row>
    <row r="32" spans="1:12" x14ac:dyDescent="0.3">
      <c r="A32">
        <v>31</v>
      </c>
      <c r="B32">
        <v>1</v>
      </c>
      <c r="C32" s="1">
        <v>44625</v>
      </c>
      <c r="D32" s="2" t="s">
        <v>64</v>
      </c>
      <c r="E32">
        <v>0</v>
      </c>
      <c r="F32">
        <v>14</v>
      </c>
      <c r="G32">
        <v>139</v>
      </c>
      <c r="H32">
        <v>175</v>
      </c>
      <c r="I32" t="str">
        <f>VLOOKUP(Call_Center_Data[[#This Row],[Emp ID]],Employee[],2,FALSE)</f>
        <v>Jill Simons</v>
      </c>
      <c r="J32" t="str">
        <f>VLOOKUP(Call_Center_Data[[#This Row],[Emp ID]], Employee[], 3, FALSE)</f>
        <v>Spokane, WA</v>
      </c>
      <c r="K32" t="str">
        <f>VLOOKUP(Call_Center_Data[[#This Row],[Emp ID]], Employee[], 4, FALSE)</f>
        <v>Jenny Rhodes</v>
      </c>
      <c r="L32" t="str">
        <f>VLOOKUP(Call_Center_Data[[#This Row],[Call Type ID]], Call_Type[], 2, FALSE)</f>
        <v>Billing</v>
      </c>
    </row>
    <row r="33" spans="1:12" x14ac:dyDescent="0.3">
      <c r="A33">
        <v>32</v>
      </c>
      <c r="B33">
        <v>2</v>
      </c>
      <c r="C33" s="1">
        <v>44626</v>
      </c>
      <c r="D33" s="2" t="s">
        <v>79</v>
      </c>
      <c r="E33">
        <v>1</v>
      </c>
      <c r="F33">
        <v>15</v>
      </c>
      <c r="G33">
        <v>140</v>
      </c>
      <c r="H33">
        <v>283</v>
      </c>
      <c r="I33" t="str">
        <f>VLOOKUP(Call_Center_Data[[#This Row],[Emp ID]],Employee[],2,FALSE)</f>
        <v>Gina Simons</v>
      </c>
      <c r="J33" t="str">
        <f>VLOOKUP(Call_Center_Data[[#This Row],[Emp ID]], Employee[], 3, FALSE)</f>
        <v>Spokane, WA</v>
      </c>
      <c r="K33" t="str">
        <f>VLOOKUP(Call_Center_Data[[#This Row],[Emp ID]], Employee[], 4, FALSE)</f>
        <v>John Rhodes</v>
      </c>
      <c r="L33" t="str">
        <f>VLOOKUP(Call_Center_Data[[#This Row],[Call Type ID]], Call_Type[], 2, FALSE)</f>
        <v>Sales</v>
      </c>
    </row>
    <row r="34" spans="1:12" x14ac:dyDescent="0.3">
      <c r="A34">
        <v>33</v>
      </c>
      <c r="B34">
        <v>2</v>
      </c>
      <c r="C34" s="1">
        <v>44627</v>
      </c>
      <c r="D34" s="2" t="s">
        <v>78</v>
      </c>
      <c r="E34">
        <v>1</v>
      </c>
      <c r="F34">
        <v>6</v>
      </c>
      <c r="G34">
        <v>123</v>
      </c>
      <c r="H34">
        <v>110</v>
      </c>
      <c r="I34" t="str">
        <f>VLOOKUP(Call_Center_Data[[#This Row],[Emp ID]],Employee[],2,FALSE)</f>
        <v>Jill Saab</v>
      </c>
      <c r="J34" t="str">
        <f>VLOOKUP(Call_Center_Data[[#This Row],[Emp ID]], Employee[], 3, FALSE)</f>
        <v>Spokane, WA</v>
      </c>
      <c r="K34" t="str">
        <f>VLOOKUP(Call_Center_Data[[#This Row],[Emp ID]], Employee[], 4, FALSE)</f>
        <v>Timmy Gill</v>
      </c>
      <c r="L34" t="str">
        <f>VLOOKUP(Call_Center_Data[[#This Row],[Call Type ID]], Call_Type[], 2, FALSE)</f>
        <v>Sales</v>
      </c>
    </row>
    <row r="35" spans="1:12" x14ac:dyDescent="0.3">
      <c r="A35">
        <v>34</v>
      </c>
      <c r="B35">
        <v>1</v>
      </c>
      <c r="C35" s="1">
        <v>44628</v>
      </c>
      <c r="D35" s="2" t="s">
        <v>64</v>
      </c>
      <c r="E35">
        <v>1</v>
      </c>
      <c r="F35">
        <v>13</v>
      </c>
      <c r="G35">
        <v>137</v>
      </c>
      <c r="H35">
        <v>203</v>
      </c>
      <c r="I35" t="str">
        <f>VLOOKUP(Call_Center_Data[[#This Row],[Emp ID]],Employee[],2,FALSE)</f>
        <v>Jill Simons</v>
      </c>
      <c r="J35" t="str">
        <f>VLOOKUP(Call_Center_Data[[#This Row],[Emp ID]], Employee[], 3, FALSE)</f>
        <v>Spokane, WA</v>
      </c>
      <c r="K35" t="str">
        <f>VLOOKUP(Call_Center_Data[[#This Row],[Emp ID]], Employee[], 4, FALSE)</f>
        <v>Jenny Rhodes</v>
      </c>
      <c r="L35" t="str">
        <f>VLOOKUP(Call_Center_Data[[#This Row],[Call Type ID]], Call_Type[], 2, FALSE)</f>
        <v>Billing</v>
      </c>
    </row>
    <row r="36" spans="1:12" x14ac:dyDescent="0.3">
      <c r="A36">
        <v>35</v>
      </c>
      <c r="B36">
        <v>3</v>
      </c>
      <c r="C36" s="1">
        <v>44629</v>
      </c>
      <c r="D36" s="2" t="s">
        <v>82</v>
      </c>
      <c r="E36">
        <v>0</v>
      </c>
      <c r="F36">
        <v>24</v>
      </c>
      <c r="G36">
        <v>144</v>
      </c>
      <c r="H36">
        <v>199</v>
      </c>
      <c r="I36" t="str">
        <f>VLOOKUP(Call_Center_Data[[#This Row],[Emp ID]],Employee[],2,FALSE)</f>
        <v>Ultor Gilder</v>
      </c>
      <c r="J36" t="str">
        <f>VLOOKUP(Call_Center_Data[[#This Row],[Emp ID]], Employee[], 3, FALSE)</f>
        <v>Aurora, CO</v>
      </c>
      <c r="K36" t="str">
        <f>VLOOKUP(Call_Center_Data[[#This Row],[Emp ID]], Employee[], 4, FALSE)</f>
        <v>Pierce Mack</v>
      </c>
      <c r="L36" t="str">
        <f>VLOOKUP(Call_Center_Data[[#This Row],[Call Type ID]], Call_Type[], 2, FALSE)</f>
        <v>Tech Sup</v>
      </c>
    </row>
    <row r="37" spans="1:12" x14ac:dyDescent="0.3">
      <c r="A37">
        <v>36</v>
      </c>
      <c r="B37">
        <v>2</v>
      </c>
      <c r="C37" s="1">
        <v>44630</v>
      </c>
      <c r="D37" s="2" t="s">
        <v>83</v>
      </c>
      <c r="E37">
        <v>1</v>
      </c>
      <c r="F37">
        <v>15</v>
      </c>
      <c r="G37">
        <v>136</v>
      </c>
      <c r="H37">
        <v>293</v>
      </c>
      <c r="I37" t="str">
        <f>VLOOKUP(Call_Center_Data[[#This Row],[Emp ID]],Employee[],2,FALSE)</f>
        <v>Ultor Simons</v>
      </c>
      <c r="J37" t="str">
        <f>VLOOKUP(Call_Center_Data[[#This Row],[Emp ID]], Employee[], 3, FALSE)</f>
        <v>Jacksonville, WA</v>
      </c>
      <c r="K37" t="str">
        <f>VLOOKUP(Call_Center_Data[[#This Row],[Emp ID]], Employee[], 4, FALSE)</f>
        <v>Pierce Hall</v>
      </c>
      <c r="L37" t="str">
        <f>VLOOKUP(Call_Center_Data[[#This Row],[Call Type ID]], Call_Type[], 2, FALSE)</f>
        <v>Sales</v>
      </c>
    </row>
    <row r="38" spans="1:12" x14ac:dyDescent="0.3">
      <c r="A38">
        <v>37</v>
      </c>
      <c r="B38">
        <v>1</v>
      </c>
      <c r="C38" s="1">
        <v>44631</v>
      </c>
      <c r="D38" s="2" t="s">
        <v>69</v>
      </c>
      <c r="E38">
        <v>0</v>
      </c>
      <c r="F38">
        <v>32</v>
      </c>
      <c r="G38">
        <v>157</v>
      </c>
      <c r="H38">
        <v>484</v>
      </c>
      <c r="I38" t="str">
        <f>VLOOKUP(Call_Center_Data[[#This Row],[Emp ID]],Employee[],2,FALSE)</f>
        <v>Sam Gilder</v>
      </c>
      <c r="J38" t="str">
        <f>VLOOKUP(Call_Center_Data[[#This Row],[Emp ID]], Employee[], 3, FALSE)</f>
        <v>Jacksonville, WA</v>
      </c>
      <c r="K38" t="str">
        <f>VLOOKUP(Call_Center_Data[[#This Row],[Emp ID]], Employee[], 4, FALSE)</f>
        <v>Timmy Hall</v>
      </c>
      <c r="L38" t="str">
        <f>VLOOKUP(Call_Center_Data[[#This Row],[Call Type ID]], Call_Type[], 2, FALSE)</f>
        <v>Billing</v>
      </c>
    </row>
    <row r="39" spans="1:12" x14ac:dyDescent="0.3">
      <c r="A39">
        <v>38</v>
      </c>
      <c r="B39">
        <v>2</v>
      </c>
      <c r="C39" s="1">
        <v>44632</v>
      </c>
      <c r="D39" s="2" t="s">
        <v>72</v>
      </c>
      <c r="E39">
        <v>0</v>
      </c>
      <c r="F39">
        <v>16</v>
      </c>
      <c r="G39">
        <v>142</v>
      </c>
      <c r="H39">
        <v>122</v>
      </c>
      <c r="I39" t="str">
        <f>VLOOKUP(Call_Center_Data[[#This Row],[Emp ID]],Employee[],2,FALSE)</f>
        <v>Ultor Pat</v>
      </c>
      <c r="J39" t="str">
        <f>VLOOKUP(Call_Center_Data[[#This Row],[Emp ID]], Employee[], 3, FALSE)</f>
        <v>Jacksonville, WA</v>
      </c>
      <c r="K39" t="str">
        <f>VLOOKUP(Call_Center_Data[[#This Row],[Emp ID]], Employee[], 4, FALSE)</f>
        <v>Jenny Hall</v>
      </c>
      <c r="L39" t="str">
        <f>VLOOKUP(Call_Center_Data[[#This Row],[Call Type ID]], Call_Type[], 2, FALSE)</f>
        <v>Sales</v>
      </c>
    </row>
    <row r="40" spans="1:12" x14ac:dyDescent="0.3">
      <c r="A40">
        <v>39</v>
      </c>
      <c r="B40">
        <v>1</v>
      </c>
      <c r="C40" s="1">
        <v>44633</v>
      </c>
      <c r="D40" s="2" t="s">
        <v>75</v>
      </c>
      <c r="E40">
        <v>0</v>
      </c>
      <c r="F40">
        <v>15</v>
      </c>
      <c r="G40">
        <v>164</v>
      </c>
      <c r="H40">
        <v>235</v>
      </c>
      <c r="I40" t="str">
        <f>VLOOKUP(Call_Center_Data[[#This Row],[Emp ID]],Employee[],2,FALSE)</f>
        <v>Gina Pat</v>
      </c>
      <c r="J40" t="str">
        <f>VLOOKUP(Call_Center_Data[[#This Row],[Emp ID]], Employee[], 3, FALSE)</f>
        <v>Spokane, WA</v>
      </c>
      <c r="K40" t="str">
        <f>VLOOKUP(Call_Center_Data[[#This Row],[Emp ID]], Employee[], 4, FALSE)</f>
        <v>Henry Hall</v>
      </c>
      <c r="L40" t="str">
        <f>VLOOKUP(Call_Center_Data[[#This Row],[Call Type ID]], Call_Type[], 2, FALSE)</f>
        <v>Billing</v>
      </c>
    </row>
    <row r="41" spans="1:12" x14ac:dyDescent="0.3">
      <c r="A41">
        <v>40</v>
      </c>
      <c r="B41">
        <v>2</v>
      </c>
      <c r="C41" s="1">
        <v>44634</v>
      </c>
      <c r="D41" s="2" t="s">
        <v>84</v>
      </c>
      <c r="E41">
        <v>0</v>
      </c>
      <c r="F41">
        <v>9</v>
      </c>
      <c r="G41">
        <v>136</v>
      </c>
      <c r="H41">
        <v>52</v>
      </c>
      <c r="I41" t="str">
        <f>VLOOKUP(Call_Center_Data[[#This Row],[Emp ID]],Employee[],2,FALSE)</f>
        <v>Sam John</v>
      </c>
      <c r="J41" t="str">
        <f>VLOOKUP(Call_Center_Data[[#This Row],[Emp ID]], Employee[], 3, FALSE)</f>
        <v>Aurora, CO</v>
      </c>
      <c r="K41" t="str">
        <f>VLOOKUP(Call_Center_Data[[#This Row],[Emp ID]], Employee[], 4, FALSE)</f>
        <v>Jenny Mack</v>
      </c>
      <c r="L41" t="str">
        <f>VLOOKUP(Call_Center_Data[[#This Row],[Call Type ID]], Call_Type[], 2, FALSE)</f>
        <v>Sales</v>
      </c>
    </row>
    <row r="42" spans="1:12" x14ac:dyDescent="0.3">
      <c r="A42">
        <v>41</v>
      </c>
      <c r="B42">
        <v>2</v>
      </c>
      <c r="C42" s="1">
        <v>44635</v>
      </c>
      <c r="D42" s="2" t="s">
        <v>85</v>
      </c>
      <c r="E42">
        <v>0</v>
      </c>
      <c r="F42">
        <v>20</v>
      </c>
      <c r="G42">
        <v>131</v>
      </c>
      <c r="H42">
        <v>190</v>
      </c>
      <c r="I42" t="str">
        <f>VLOOKUP(Call_Center_Data[[#This Row],[Emp ID]],Employee[],2,FALSE)</f>
        <v>Tina Gilder</v>
      </c>
      <c r="J42" t="str">
        <f>VLOOKUP(Call_Center_Data[[#This Row],[Emp ID]], Employee[], 3, FALSE)</f>
        <v>Spokane, WA</v>
      </c>
      <c r="K42" t="str">
        <f>VLOOKUP(Call_Center_Data[[#This Row],[Emp ID]], Employee[], 4, FALSE)</f>
        <v>Timmy Baas</v>
      </c>
      <c r="L42" t="str">
        <f>VLOOKUP(Call_Center_Data[[#This Row],[Call Type ID]], Call_Type[], 2, FALSE)</f>
        <v>Sales</v>
      </c>
    </row>
    <row r="43" spans="1:12" x14ac:dyDescent="0.3">
      <c r="A43">
        <v>42</v>
      </c>
      <c r="B43">
        <v>2</v>
      </c>
      <c r="C43" s="1">
        <v>44636</v>
      </c>
      <c r="D43" s="2" t="s">
        <v>83</v>
      </c>
      <c r="E43">
        <v>0</v>
      </c>
      <c r="F43">
        <v>16</v>
      </c>
      <c r="G43">
        <v>146</v>
      </c>
      <c r="H43">
        <v>587</v>
      </c>
      <c r="I43" t="str">
        <f>VLOOKUP(Call_Center_Data[[#This Row],[Emp ID]],Employee[],2,FALSE)</f>
        <v>Ultor Simons</v>
      </c>
      <c r="J43" t="str">
        <f>VLOOKUP(Call_Center_Data[[#This Row],[Emp ID]], Employee[], 3, FALSE)</f>
        <v>Jacksonville, WA</v>
      </c>
      <c r="K43" t="str">
        <f>VLOOKUP(Call_Center_Data[[#This Row],[Emp ID]], Employee[], 4, FALSE)</f>
        <v>Pierce Hall</v>
      </c>
      <c r="L43" t="str">
        <f>VLOOKUP(Call_Center_Data[[#This Row],[Call Type ID]], Call_Type[], 2, FALSE)</f>
        <v>Sales</v>
      </c>
    </row>
    <row r="44" spans="1:12" x14ac:dyDescent="0.3">
      <c r="A44">
        <v>43</v>
      </c>
      <c r="B44">
        <v>1</v>
      </c>
      <c r="C44" s="1">
        <v>44637</v>
      </c>
      <c r="D44" s="2" t="s">
        <v>77</v>
      </c>
      <c r="E44">
        <v>1</v>
      </c>
      <c r="F44">
        <v>10</v>
      </c>
      <c r="G44">
        <v>128</v>
      </c>
      <c r="H44">
        <v>70</v>
      </c>
      <c r="I44" t="str">
        <f>VLOOKUP(Call_Center_Data[[#This Row],[Emp ID]],Employee[],2,FALSE)</f>
        <v>Sam Saab</v>
      </c>
      <c r="J44" t="str">
        <f>VLOOKUP(Call_Center_Data[[#This Row],[Emp ID]], Employee[], 3, FALSE)</f>
        <v>Aurora, CO</v>
      </c>
      <c r="K44" t="str">
        <f>VLOOKUP(Call_Center_Data[[#This Row],[Emp ID]], Employee[], 4, FALSE)</f>
        <v>Timmy Mack</v>
      </c>
      <c r="L44" t="str">
        <f>VLOOKUP(Call_Center_Data[[#This Row],[Call Type ID]], Call_Type[], 2, FALSE)</f>
        <v>Billing</v>
      </c>
    </row>
    <row r="45" spans="1:12" x14ac:dyDescent="0.3">
      <c r="A45">
        <v>44</v>
      </c>
      <c r="B45">
        <v>2</v>
      </c>
      <c r="C45" s="1">
        <v>44638</v>
      </c>
      <c r="D45" s="2" t="s">
        <v>86</v>
      </c>
      <c r="E45">
        <v>1</v>
      </c>
      <c r="F45">
        <v>11</v>
      </c>
      <c r="G45">
        <v>144</v>
      </c>
      <c r="H45">
        <v>277</v>
      </c>
      <c r="I45" t="str">
        <f>VLOOKUP(Call_Center_Data[[#This Row],[Emp ID]],Employee[],2,FALSE)</f>
        <v>Jill Gilder</v>
      </c>
      <c r="J45" t="str">
        <f>VLOOKUP(Call_Center_Data[[#This Row],[Emp ID]], Employee[], 3, FALSE)</f>
        <v>Aurora, CO</v>
      </c>
      <c r="K45" t="str">
        <f>VLOOKUP(Call_Center_Data[[#This Row],[Emp ID]], Employee[], 4, FALSE)</f>
        <v>Jenny Baas</v>
      </c>
      <c r="L45" t="str">
        <f>VLOOKUP(Call_Center_Data[[#This Row],[Call Type ID]], Call_Type[], 2, FALSE)</f>
        <v>Sales</v>
      </c>
    </row>
    <row r="46" spans="1:12" x14ac:dyDescent="0.3">
      <c r="A46">
        <v>45</v>
      </c>
      <c r="B46">
        <v>1</v>
      </c>
      <c r="C46" s="1">
        <v>44639</v>
      </c>
      <c r="D46" s="2" t="s">
        <v>65</v>
      </c>
      <c r="E46">
        <v>0</v>
      </c>
      <c r="F46">
        <v>7</v>
      </c>
      <c r="G46">
        <v>138</v>
      </c>
      <c r="H46">
        <v>71</v>
      </c>
      <c r="I46" t="str">
        <f>VLOOKUP(Call_Center_Data[[#This Row],[Emp ID]],Employee[],2,FALSE)</f>
        <v>Ultor John</v>
      </c>
      <c r="J46" t="str">
        <f>VLOOKUP(Call_Center_Data[[#This Row],[Emp ID]], Employee[], 3, FALSE)</f>
        <v>Spokane, WA</v>
      </c>
      <c r="K46" t="str">
        <f>VLOOKUP(Call_Center_Data[[#This Row],[Emp ID]], Employee[], 4, FALSE)</f>
        <v>John Mack</v>
      </c>
      <c r="L46" t="str">
        <f>VLOOKUP(Call_Center_Data[[#This Row],[Call Type ID]], Call_Type[], 2, FALSE)</f>
        <v>Billing</v>
      </c>
    </row>
    <row r="47" spans="1:12" x14ac:dyDescent="0.3">
      <c r="A47">
        <v>46</v>
      </c>
      <c r="B47">
        <v>2</v>
      </c>
      <c r="C47" s="1">
        <v>44640</v>
      </c>
      <c r="D47" s="2" t="s">
        <v>73</v>
      </c>
      <c r="E47">
        <v>1</v>
      </c>
      <c r="F47">
        <v>8</v>
      </c>
      <c r="G47">
        <v>151</v>
      </c>
      <c r="H47">
        <v>73</v>
      </c>
      <c r="I47" t="str">
        <f>VLOOKUP(Call_Center_Data[[#This Row],[Emp ID]],Employee[],2,FALSE)</f>
        <v>Jill John</v>
      </c>
      <c r="J47" t="str">
        <f>VLOOKUP(Call_Center_Data[[#This Row],[Emp ID]], Employee[], 3, FALSE)</f>
        <v>Spokane, WA</v>
      </c>
      <c r="K47" t="str">
        <f>VLOOKUP(Call_Center_Data[[#This Row],[Emp ID]], Employee[], 4, FALSE)</f>
        <v>John Gill</v>
      </c>
      <c r="L47" t="str">
        <f>VLOOKUP(Call_Center_Data[[#This Row],[Call Type ID]], Call_Type[], 2, FALSE)</f>
        <v>Sales</v>
      </c>
    </row>
    <row r="48" spans="1:12" x14ac:dyDescent="0.3">
      <c r="A48">
        <v>47</v>
      </c>
      <c r="B48">
        <v>1</v>
      </c>
      <c r="C48" s="1">
        <v>44641</v>
      </c>
      <c r="D48" s="2" t="s">
        <v>65</v>
      </c>
      <c r="E48">
        <v>0</v>
      </c>
      <c r="F48">
        <v>12</v>
      </c>
      <c r="G48">
        <v>142</v>
      </c>
      <c r="H48">
        <v>130</v>
      </c>
      <c r="I48" t="str">
        <f>VLOOKUP(Call_Center_Data[[#This Row],[Emp ID]],Employee[],2,FALSE)</f>
        <v>Ultor John</v>
      </c>
      <c r="J48" t="str">
        <f>VLOOKUP(Call_Center_Data[[#This Row],[Emp ID]], Employee[], 3, FALSE)</f>
        <v>Spokane, WA</v>
      </c>
      <c r="K48" t="str">
        <f>VLOOKUP(Call_Center_Data[[#This Row],[Emp ID]], Employee[], 4, FALSE)</f>
        <v>John Mack</v>
      </c>
      <c r="L48" t="str">
        <f>VLOOKUP(Call_Center_Data[[#This Row],[Call Type ID]], Call_Type[], 2, FALSE)</f>
        <v>Billing</v>
      </c>
    </row>
    <row r="49" spans="1:12" x14ac:dyDescent="0.3">
      <c r="A49">
        <v>48</v>
      </c>
      <c r="B49">
        <v>3</v>
      </c>
      <c r="C49" s="1">
        <v>44642</v>
      </c>
      <c r="D49" s="2" t="s">
        <v>73</v>
      </c>
      <c r="E49">
        <v>1</v>
      </c>
      <c r="F49">
        <v>5</v>
      </c>
      <c r="G49">
        <v>133</v>
      </c>
      <c r="H49">
        <v>74</v>
      </c>
      <c r="I49" t="str">
        <f>VLOOKUP(Call_Center_Data[[#This Row],[Emp ID]],Employee[],2,FALSE)</f>
        <v>Jill John</v>
      </c>
      <c r="J49" t="str">
        <f>VLOOKUP(Call_Center_Data[[#This Row],[Emp ID]], Employee[], 3, FALSE)</f>
        <v>Spokane, WA</v>
      </c>
      <c r="K49" t="str">
        <f>VLOOKUP(Call_Center_Data[[#This Row],[Emp ID]], Employee[], 4, FALSE)</f>
        <v>John Gill</v>
      </c>
      <c r="L49" t="str">
        <f>VLOOKUP(Call_Center_Data[[#This Row],[Call Type ID]], Call_Type[], 2, FALSE)</f>
        <v>Tech Sup</v>
      </c>
    </row>
    <row r="50" spans="1:12" x14ac:dyDescent="0.3">
      <c r="A50">
        <v>49</v>
      </c>
      <c r="B50">
        <v>2</v>
      </c>
      <c r="C50" s="1">
        <v>44643</v>
      </c>
      <c r="D50" s="2" t="s">
        <v>77</v>
      </c>
      <c r="E50">
        <v>0</v>
      </c>
      <c r="F50">
        <v>5</v>
      </c>
      <c r="G50">
        <v>139</v>
      </c>
      <c r="H50">
        <v>58</v>
      </c>
      <c r="I50" t="str">
        <f>VLOOKUP(Call_Center_Data[[#This Row],[Emp ID]],Employee[],2,FALSE)</f>
        <v>Sam Saab</v>
      </c>
      <c r="J50" t="str">
        <f>VLOOKUP(Call_Center_Data[[#This Row],[Emp ID]], Employee[], 3, FALSE)</f>
        <v>Aurora, CO</v>
      </c>
      <c r="K50" t="str">
        <f>VLOOKUP(Call_Center_Data[[#This Row],[Emp ID]], Employee[], 4, FALSE)</f>
        <v>Timmy Mack</v>
      </c>
      <c r="L50" t="str">
        <f>VLOOKUP(Call_Center_Data[[#This Row],[Call Type ID]], Call_Type[], 2, FALSE)</f>
        <v>Sales</v>
      </c>
    </row>
    <row r="51" spans="1:12" x14ac:dyDescent="0.3">
      <c r="A51">
        <v>50</v>
      </c>
      <c r="B51">
        <v>1</v>
      </c>
      <c r="C51" s="1">
        <v>44644</v>
      </c>
      <c r="D51" s="2" t="s">
        <v>87</v>
      </c>
      <c r="E51">
        <v>0</v>
      </c>
      <c r="F51">
        <v>5</v>
      </c>
      <c r="G51">
        <v>134</v>
      </c>
      <c r="H51">
        <v>58</v>
      </c>
      <c r="I51" t="str">
        <f>VLOOKUP(Call_Center_Data[[#This Row],[Emp ID]],Employee[],2,FALSE)</f>
        <v>Gina Saab</v>
      </c>
      <c r="J51" t="str">
        <f>VLOOKUP(Call_Center_Data[[#This Row],[Emp ID]], Employee[], 3, FALSE)</f>
        <v>Jacksonville, WA</v>
      </c>
      <c r="K51" t="str">
        <f>VLOOKUP(Call_Center_Data[[#This Row],[Emp ID]], Employee[], 4, FALSE)</f>
        <v>Jenny Gill</v>
      </c>
      <c r="L51" t="str">
        <f>VLOOKUP(Call_Center_Data[[#This Row],[Call Type ID]], Call_Type[], 2, FALSE)</f>
        <v>Billing</v>
      </c>
    </row>
    <row r="52" spans="1:12" x14ac:dyDescent="0.3">
      <c r="A52">
        <v>51</v>
      </c>
      <c r="B52">
        <v>1</v>
      </c>
      <c r="C52" s="1">
        <v>44645</v>
      </c>
      <c r="D52" s="2" t="s">
        <v>81</v>
      </c>
      <c r="E52">
        <v>1</v>
      </c>
      <c r="F52">
        <v>3</v>
      </c>
      <c r="G52">
        <v>146</v>
      </c>
      <c r="H52">
        <v>55</v>
      </c>
      <c r="I52" t="str">
        <f>VLOOKUP(Call_Center_Data[[#This Row],[Emp ID]],Employee[],2,FALSE)</f>
        <v>Sam Simons</v>
      </c>
      <c r="J52" t="str">
        <f>VLOOKUP(Call_Center_Data[[#This Row],[Emp ID]], Employee[], 3, FALSE)</f>
        <v>Jacksonville, WA</v>
      </c>
      <c r="K52" t="str">
        <f>VLOOKUP(Call_Center_Data[[#This Row],[Emp ID]], Employee[], 4, FALSE)</f>
        <v>John Baas</v>
      </c>
      <c r="L52" t="str">
        <f>VLOOKUP(Call_Center_Data[[#This Row],[Call Type ID]], Call_Type[], 2, FALSE)</f>
        <v>Billing</v>
      </c>
    </row>
    <row r="53" spans="1:12" x14ac:dyDescent="0.3">
      <c r="A53">
        <v>52</v>
      </c>
      <c r="B53">
        <v>2</v>
      </c>
      <c r="C53" s="1">
        <v>44646</v>
      </c>
      <c r="D53" s="2" t="s">
        <v>86</v>
      </c>
      <c r="E53">
        <v>0</v>
      </c>
      <c r="F53">
        <v>5</v>
      </c>
      <c r="G53">
        <v>144</v>
      </c>
      <c r="H53">
        <v>133</v>
      </c>
      <c r="I53" t="str">
        <f>VLOOKUP(Call_Center_Data[[#This Row],[Emp ID]],Employee[],2,FALSE)</f>
        <v>Jill Gilder</v>
      </c>
      <c r="J53" t="str">
        <f>VLOOKUP(Call_Center_Data[[#This Row],[Emp ID]], Employee[], 3, FALSE)</f>
        <v>Aurora, CO</v>
      </c>
      <c r="K53" t="str">
        <f>VLOOKUP(Call_Center_Data[[#This Row],[Emp ID]], Employee[], 4, FALSE)</f>
        <v>Jenny Baas</v>
      </c>
      <c r="L53" t="str">
        <f>VLOOKUP(Call_Center_Data[[#This Row],[Call Type ID]], Call_Type[], 2, FALSE)</f>
        <v>Sales</v>
      </c>
    </row>
    <row r="54" spans="1:12" x14ac:dyDescent="0.3">
      <c r="A54">
        <v>53</v>
      </c>
      <c r="B54">
        <v>3</v>
      </c>
      <c r="C54" s="1">
        <v>44647</v>
      </c>
      <c r="D54" s="2" t="s">
        <v>88</v>
      </c>
      <c r="E54">
        <v>1</v>
      </c>
      <c r="F54">
        <v>15</v>
      </c>
      <c r="G54">
        <v>134</v>
      </c>
      <c r="H54">
        <v>111</v>
      </c>
      <c r="I54" t="str">
        <f>VLOOKUP(Call_Center_Data[[#This Row],[Emp ID]],Employee[],2,FALSE)</f>
        <v>Gina Gilder</v>
      </c>
      <c r="J54" t="str">
        <f>VLOOKUP(Call_Center_Data[[#This Row],[Emp ID]], Employee[], 3, FALSE)</f>
        <v>Jacksonville, WA</v>
      </c>
      <c r="K54" t="str">
        <f>VLOOKUP(Call_Center_Data[[#This Row],[Emp ID]], Employee[], 4, FALSE)</f>
        <v>Pierce Rhodes</v>
      </c>
      <c r="L54" t="str">
        <f>VLOOKUP(Call_Center_Data[[#This Row],[Call Type ID]], Call_Type[], 2, FALSE)</f>
        <v>Tech Sup</v>
      </c>
    </row>
    <row r="55" spans="1:12" x14ac:dyDescent="0.3">
      <c r="A55">
        <v>54</v>
      </c>
      <c r="B55">
        <v>3</v>
      </c>
      <c r="C55" s="1">
        <v>44648</v>
      </c>
      <c r="D55" s="2" t="s">
        <v>84</v>
      </c>
      <c r="E55">
        <v>0</v>
      </c>
      <c r="F55">
        <v>6</v>
      </c>
      <c r="G55">
        <v>142</v>
      </c>
      <c r="H55">
        <v>52</v>
      </c>
      <c r="I55" t="str">
        <f>VLOOKUP(Call_Center_Data[[#This Row],[Emp ID]],Employee[],2,FALSE)</f>
        <v>Sam John</v>
      </c>
      <c r="J55" t="str">
        <f>VLOOKUP(Call_Center_Data[[#This Row],[Emp ID]], Employee[], 3, FALSE)</f>
        <v>Aurora, CO</v>
      </c>
      <c r="K55" t="str">
        <f>VLOOKUP(Call_Center_Data[[#This Row],[Emp ID]], Employee[], 4, FALSE)</f>
        <v>Jenny Mack</v>
      </c>
      <c r="L55" t="str">
        <f>VLOOKUP(Call_Center_Data[[#This Row],[Call Type ID]], Call_Type[], 2, FALSE)</f>
        <v>Tech Sup</v>
      </c>
    </row>
    <row r="56" spans="1:12" x14ac:dyDescent="0.3">
      <c r="A56">
        <v>55</v>
      </c>
      <c r="B56">
        <v>1</v>
      </c>
      <c r="C56" s="1">
        <v>44649</v>
      </c>
      <c r="D56" s="2" t="s">
        <v>78</v>
      </c>
      <c r="E56">
        <v>0</v>
      </c>
      <c r="F56">
        <v>14</v>
      </c>
      <c r="G56">
        <v>136</v>
      </c>
      <c r="H56">
        <v>113</v>
      </c>
      <c r="I56" t="str">
        <f>VLOOKUP(Call_Center_Data[[#This Row],[Emp ID]],Employee[],2,FALSE)</f>
        <v>Jill Saab</v>
      </c>
      <c r="J56" t="str">
        <f>VLOOKUP(Call_Center_Data[[#This Row],[Emp ID]], Employee[], 3, FALSE)</f>
        <v>Spokane, WA</v>
      </c>
      <c r="K56" t="str">
        <f>VLOOKUP(Call_Center_Data[[#This Row],[Emp ID]], Employee[], 4, FALSE)</f>
        <v>Timmy Gill</v>
      </c>
      <c r="L56" t="str">
        <f>VLOOKUP(Call_Center_Data[[#This Row],[Call Type ID]], Call_Type[], 2, FALSE)</f>
        <v>Billing</v>
      </c>
    </row>
    <row r="57" spans="1:12" x14ac:dyDescent="0.3">
      <c r="A57">
        <v>56</v>
      </c>
      <c r="B57">
        <v>2</v>
      </c>
      <c r="C57" s="1">
        <v>44650</v>
      </c>
      <c r="D57" s="2" t="s">
        <v>75</v>
      </c>
      <c r="E57">
        <v>0</v>
      </c>
      <c r="F57">
        <v>12</v>
      </c>
      <c r="G57">
        <v>144</v>
      </c>
      <c r="H57">
        <v>117</v>
      </c>
      <c r="I57" t="str">
        <f>VLOOKUP(Call_Center_Data[[#This Row],[Emp ID]],Employee[],2,FALSE)</f>
        <v>Gina Pat</v>
      </c>
      <c r="J57" t="str">
        <f>VLOOKUP(Call_Center_Data[[#This Row],[Emp ID]], Employee[], 3, FALSE)</f>
        <v>Spokane, WA</v>
      </c>
      <c r="K57" t="str">
        <f>VLOOKUP(Call_Center_Data[[#This Row],[Emp ID]], Employee[], 4, FALSE)</f>
        <v>Henry Hall</v>
      </c>
      <c r="L57" t="str">
        <f>VLOOKUP(Call_Center_Data[[#This Row],[Call Type ID]], Call_Type[], 2, FALSE)</f>
        <v>Sales</v>
      </c>
    </row>
    <row r="58" spans="1:12" x14ac:dyDescent="0.3">
      <c r="A58">
        <v>57</v>
      </c>
      <c r="B58">
        <v>3</v>
      </c>
      <c r="C58" s="1">
        <v>44651</v>
      </c>
      <c r="D58" s="2" t="s">
        <v>64</v>
      </c>
      <c r="E58">
        <v>1</v>
      </c>
      <c r="F58">
        <v>26</v>
      </c>
      <c r="G58">
        <v>136</v>
      </c>
      <c r="H58">
        <v>187</v>
      </c>
      <c r="I58" t="str">
        <f>VLOOKUP(Call_Center_Data[[#This Row],[Emp ID]],Employee[],2,FALSE)</f>
        <v>Jill Simons</v>
      </c>
      <c r="J58" t="str">
        <f>VLOOKUP(Call_Center_Data[[#This Row],[Emp ID]], Employee[], 3, FALSE)</f>
        <v>Spokane, WA</v>
      </c>
      <c r="K58" t="str">
        <f>VLOOKUP(Call_Center_Data[[#This Row],[Emp ID]], Employee[], 4, FALSE)</f>
        <v>Jenny Rhodes</v>
      </c>
      <c r="L58" t="str">
        <f>VLOOKUP(Call_Center_Data[[#This Row],[Call Type ID]], Call_Type[], 2, FALSE)</f>
        <v>Tech Sup</v>
      </c>
    </row>
    <row r="59" spans="1:12" x14ac:dyDescent="0.3">
      <c r="A59">
        <v>58</v>
      </c>
      <c r="B59">
        <v>3</v>
      </c>
      <c r="C59" s="1">
        <v>44652</v>
      </c>
      <c r="D59" s="2" t="s">
        <v>84</v>
      </c>
      <c r="E59">
        <v>0</v>
      </c>
      <c r="F59">
        <v>9</v>
      </c>
      <c r="G59">
        <v>145</v>
      </c>
      <c r="H59">
        <v>140</v>
      </c>
      <c r="I59" t="str">
        <f>VLOOKUP(Call_Center_Data[[#This Row],[Emp ID]],Employee[],2,FALSE)</f>
        <v>Sam John</v>
      </c>
      <c r="J59" t="str">
        <f>VLOOKUP(Call_Center_Data[[#This Row],[Emp ID]], Employee[], 3, FALSE)</f>
        <v>Aurora, CO</v>
      </c>
      <c r="K59" t="str">
        <f>VLOOKUP(Call_Center_Data[[#This Row],[Emp ID]], Employee[], 4, FALSE)</f>
        <v>Jenny Mack</v>
      </c>
      <c r="L59" t="str">
        <f>VLOOKUP(Call_Center_Data[[#This Row],[Call Type ID]], Call_Type[], 2, FALSE)</f>
        <v>Tech Sup</v>
      </c>
    </row>
    <row r="60" spans="1:12" x14ac:dyDescent="0.3">
      <c r="A60">
        <v>59</v>
      </c>
      <c r="B60">
        <v>3</v>
      </c>
      <c r="C60" s="1">
        <v>44653</v>
      </c>
      <c r="D60" s="2" t="s">
        <v>83</v>
      </c>
      <c r="E60">
        <v>0</v>
      </c>
      <c r="F60">
        <v>17</v>
      </c>
      <c r="G60">
        <v>137</v>
      </c>
      <c r="H60">
        <v>153</v>
      </c>
      <c r="I60" t="str">
        <f>VLOOKUP(Call_Center_Data[[#This Row],[Emp ID]],Employee[],2,FALSE)</f>
        <v>Ultor Simons</v>
      </c>
      <c r="J60" t="str">
        <f>VLOOKUP(Call_Center_Data[[#This Row],[Emp ID]], Employee[], 3, FALSE)</f>
        <v>Jacksonville, WA</v>
      </c>
      <c r="K60" t="str">
        <f>VLOOKUP(Call_Center_Data[[#This Row],[Emp ID]], Employee[], 4, FALSE)</f>
        <v>Pierce Hall</v>
      </c>
      <c r="L60" t="str">
        <f>VLOOKUP(Call_Center_Data[[#This Row],[Call Type ID]], Call_Type[], 2, FALSE)</f>
        <v>Tech Sup</v>
      </c>
    </row>
    <row r="61" spans="1:12" x14ac:dyDescent="0.3">
      <c r="A61">
        <v>60</v>
      </c>
      <c r="B61">
        <v>2</v>
      </c>
      <c r="C61" s="1">
        <v>44654</v>
      </c>
      <c r="D61" s="2" t="s">
        <v>86</v>
      </c>
      <c r="E61">
        <v>1</v>
      </c>
      <c r="F61">
        <v>18</v>
      </c>
      <c r="G61">
        <v>147</v>
      </c>
      <c r="H61">
        <v>249</v>
      </c>
      <c r="I61" t="str">
        <f>VLOOKUP(Call_Center_Data[[#This Row],[Emp ID]],Employee[],2,FALSE)</f>
        <v>Jill Gilder</v>
      </c>
      <c r="J61" t="str">
        <f>VLOOKUP(Call_Center_Data[[#This Row],[Emp ID]], Employee[], 3, FALSE)</f>
        <v>Aurora, CO</v>
      </c>
      <c r="K61" t="str">
        <f>VLOOKUP(Call_Center_Data[[#This Row],[Emp ID]], Employee[], 4, FALSE)</f>
        <v>Jenny Baas</v>
      </c>
      <c r="L61" t="str">
        <f>VLOOKUP(Call_Center_Data[[#This Row],[Call Type ID]], Call_Type[], 2, FALSE)</f>
        <v>Sales</v>
      </c>
    </row>
    <row r="62" spans="1:12" x14ac:dyDescent="0.3">
      <c r="A62">
        <v>61</v>
      </c>
      <c r="B62">
        <v>1</v>
      </c>
      <c r="C62" s="1">
        <v>44655</v>
      </c>
      <c r="D62" s="2" t="s">
        <v>82</v>
      </c>
      <c r="E62">
        <v>0</v>
      </c>
      <c r="F62">
        <v>7</v>
      </c>
      <c r="G62">
        <v>107</v>
      </c>
      <c r="H62">
        <v>220</v>
      </c>
      <c r="I62" t="str">
        <f>VLOOKUP(Call_Center_Data[[#This Row],[Emp ID]],Employee[],2,FALSE)</f>
        <v>Ultor Gilder</v>
      </c>
      <c r="J62" t="str">
        <f>VLOOKUP(Call_Center_Data[[#This Row],[Emp ID]], Employee[], 3, FALSE)</f>
        <v>Aurora, CO</v>
      </c>
      <c r="K62" t="str">
        <f>VLOOKUP(Call_Center_Data[[#This Row],[Emp ID]], Employee[], 4, FALSE)</f>
        <v>Pierce Mack</v>
      </c>
      <c r="L62" t="str">
        <f>VLOOKUP(Call_Center_Data[[#This Row],[Call Type ID]], Call_Type[], 2, FALSE)</f>
        <v>Billing</v>
      </c>
    </row>
    <row r="63" spans="1:12" x14ac:dyDescent="0.3">
      <c r="A63">
        <v>62</v>
      </c>
      <c r="B63">
        <v>2</v>
      </c>
      <c r="C63" s="1">
        <v>44656</v>
      </c>
      <c r="D63" s="2" t="s">
        <v>69</v>
      </c>
      <c r="E63">
        <v>1</v>
      </c>
      <c r="F63">
        <v>10</v>
      </c>
      <c r="G63">
        <v>138</v>
      </c>
      <c r="H63">
        <v>169</v>
      </c>
      <c r="I63" t="str">
        <f>VLOOKUP(Call_Center_Data[[#This Row],[Emp ID]],Employee[],2,FALSE)</f>
        <v>Sam Gilder</v>
      </c>
      <c r="J63" t="str">
        <f>VLOOKUP(Call_Center_Data[[#This Row],[Emp ID]], Employee[], 3, FALSE)</f>
        <v>Jacksonville, WA</v>
      </c>
      <c r="K63" t="str">
        <f>VLOOKUP(Call_Center_Data[[#This Row],[Emp ID]], Employee[], 4, FALSE)</f>
        <v>Timmy Hall</v>
      </c>
      <c r="L63" t="str">
        <f>VLOOKUP(Call_Center_Data[[#This Row],[Call Type ID]], Call_Type[], 2, FALSE)</f>
        <v>Sales</v>
      </c>
    </row>
    <row r="64" spans="1:12" x14ac:dyDescent="0.3">
      <c r="A64">
        <v>63</v>
      </c>
      <c r="B64">
        <v>3</v>
      </c>
      <c r="C64" s="1">
        <v>44657</v>
      </c>
      <c r="D64" s="2" t="s">
        <v>82</v>
      </c>
      <c r="E64">
        <v>1</v>
      </c>
      <c r="F64">
        <v>8</v>
      </c>
      <c r="G64">
        <v>125</v>
      </c>
      <c r="H64">
        <v>77</v>
      </c>
      <c r="I64" t="str">
        <f>VLOOKUP(Call_Center_Data[[#This Row],[Emp ID]],Employee[],2,FALSE)</f>
        <v>Ultor Gilder</v>
      </c>
      <c r="J64" t="str">
        <f>VLOOKUP(Call_Center_Data[[#This Row],[Emp ID]], Employee[], 3, FALSE)</f>
        <v>Aurora, CO</v>
      </c>
      <c r="K64" t="str">
        <f>VLOOKUP(Call_Center_Data[[#This Row],[Emp ID]], Employee[], 4, FALSE)</f>
        <v>Pierce Mack</v>
      </c>
      <c r="L64" t="str">
        <f>VLOOKUP(Call_Center_Data[[#This Row],[Call Type ID]], Call_Type[], 2, FALSE)</f>
        <v>Tech Sup</v>
      </c>
    </row>
    <row r="65" spans="1:12" x14ac:dyDescent="0.3">
      <c r="A65">
        <v>64</v>
      </c>
      <c r="B65">
        <v>3</v>
      </c>
      <c r="C65" s="1">
        <v>44658</v>
      </c>
      <c r="D65" s="2" t="s">
        <v>71</v>
      </c>
      <c r="E65">
        <v>1</v>
      </c>
      <c r="F65">
        <v>7</v>
      </c>
      <c r="G65">
        <v>115</v>
      </c>
      <c r="H65">
        <v>110</v>
      </c>
      <c r="I65" t="str">
        <f>VLOOKUP(Call_Center_Data[[#This Row],[Emp ID]],Employee[],2,FALSE)</f>
        <v>Sam Pat</v>
      </c>
      <c r="J65" t="str">
        <f>VLOOKUP(Call_Center_Data[[#This Row],[Emp ID]], Employee[], 3, FALSE)</f>
        <v>Aurora, CO</v>
      </c>
      <c r="K65" t="str">
        <f>VLOOKUP(Call_Center_Data[[#This Row],[Emp ID]], Employee[], 4, FALSE)</f>
        <v>Henry Mack</v>
      </c>
      <c r="L65" t="str">
        <f>VLOOKUP(Call_Center_Data[[#This Row],[Call Type ID]], Call_Type[], 2, FALSE)</f>
        <v>Tech Sup</v>
      </c>
    </row>
    <row r="66" spans="1:12" x14ac:dyDescent="0.3">
      <c r="A66">
        <v>65</v>
      </c>
      <c r="B66">
        <v>1</v>
      </c>
      <c r="C66" s="1">
        <v>44659</v>
      </c>
      <c r="D66" s="2" t="s">
        <v>74</v>
      </c>
      <c r="E66">
        <v>0</v>
      </c>
      <c r="F66">
        <v>9</v>
      </c>
      <c r="G66">
        <v>129</v>
      </c>
      <c r="H66">
        <v>66</v>
      </c>
      <c r="I66" t="str">
        <f>VLOOKUP(Call_Center_Data[[#This Row],[Emp ID]],Employee[],2,FALSE)</f>
        <v>Gina John</v>
      </c>
      <c r="J66" t="str">
        <f>VLOOKUP(Call_Center_Data[[#This Row],[Emp ID]], Employee[], 3, FALSE)</f>
        <v>Jacksonville, WA</v>
      </c>
      <c r="K66" t="str">
        <f>VLOOKUP(Call_Center_Data[[#This Row],[Emp ID]], Employee[], 4, FALSE)</f>
        <v>Henry Gill</v>
      </c>
      <c r="L66" t="str">
        <f>VLOOKUP(Call_Center_Data[[#This Row],[Call Type ID]], Call_Type[], 2, FALSE)</f>
        <v>Billing</v>
      </c>
    </row>
    <row r="67" spans="1:12" x14ac:dyDescent="0.3">
      <c r="A67">
        <v>66</v>
      </c>
      <c r="B67">
        <v>2</v>
      </c>
      <c r="C67" s="1">
        <v>44660</v>
      </c>
      <c r="D67" s="2" t="s">
        <v>66</v>
      </c>
      <c r="E67">
        <v>0</v>
      </c>
      <c r="F67">
        <v>8</v>
      </c>
      <c r="G67">
        <v>139</v>
      </c>
      <c r="H67">
        <v>66</v>
      </c>
      <c r="I67" t="str">
        <f>VLOOKUP(Call_Center_Data[[#This Row],[Emp ID]],Employee[],2,FALSE)</f>
        <v>Tina John</v>
      </c>
      <c r="J67" t="str">
        <f>VLOOKUP(Call_Center_Data[[#This Row],[Emp ID]], Employee[], 3, FALSE)</f>
        <v>Aurora, CO</v>
      </c>
      <c r="K67" t="str">
        <f>VLOOKUP(Call_Center_Data[[#This Row],[Emp ID]], Employee[], 4, FALSE)</f>
        <v>Timmy Rhodes</v>
      </c>
      <c r="L67" t="str">
        <f>VLOOKUP(Call_Center_Data[[#This Row],[Call Type ID]], Call_Type[], 2, FALSE)</f>
        <v>Sales</v>
      </c>
    </row>
    <row r="68" spans="1:12" x14ac:dyDescent="0.3">
      <c r="A68">
        <v>67</v>
      </c>
      <c r="B68">
        <v>3</v>
      </c>
      <c r="C68" s="1">
        <v>44661</v>
      </c>
      <c r="D68" s="2" t="s">
        <v>65</v>
      </c>
      <c r="E68">
        <v>1</v>
      </c>
      <c r="F68">
        <v>8</v>
      </c>
      <c r="G68">
        <v>141</v>
      </c>
      <c r="H68">
        <v>113</v>
      </c>
      <c r="I68" t="str">
        <f>VLOOKUP(Call_Center_Data[[#This Row],[Emp ID]],Employee[],2,FALSE)</f>
        <v>Ultor John</v>
      </c>
      <c r="J68" t="str">
        <f>VLOOKUP(Call_Center_Data[[#This Row],[Emp ID]], Employee[], 3, FALSE)</f>
        <v>Spokane, WA</v>
      </c>
      <c r="K68" t="str">
        <f>VLOOKUP(Call_Center_Data[[#This Row],[Emp ID]], Employee[], 4, FALSE)</f>
        <v>John Mack</v>
      </c>
      <c r="L68" t="str">
        <f>VLOOKUP(Call_Center_Data[[#This Row],[Call Type ID]], Call_Type[], 2, FALSE)</f>
        <v>Tech Sup</v>
      </c>
    </row>
    <row r="69" spans="1:12" x14ac:dyDescent="0.3">
      <c r="A69">
        <v>68</v>
      </c>
      <c r="B69">
        <v>3</v>
      </c>
      <c r="C69" s="1">
        <v>44662</v>
      </c>
      <c r="D69" s="2" t="s">
        <v>68</v>
      </c>
      <c r="E69">
        <v>0</v>
      </c>
      <c r="F69">
        <v>11</v>
      </c>
      <c r="G69">
        <v>135</v>
      </c>
      <c r="H69">
        <v>110</v>
      </c>
      <c r="I69" t="str">
        <f>VLOOKUP(Call_Center_Data[[#This Row],[Emp ID]],Employee[],2,FALSE)</f>
        <v>Tina Saab</v>
      </c>
      <c r="J69" t="str">
        <f>VLOOKUP(Call_Center_Data[[#This Row],[Emp ID]], Employee[], 3, FALSE)</f>
        <v>Spokane, WA</v>
      </c>
      <c r="K69" t="str">
        <f>VLOOKUP(Call_Center_Data[[#This Row],[Emp ID]], Employee[], 4, FALSE)</f>
        <v>Henry Baas</v>
      </c>
      <c r="L69" t="str">
        <f>VLOOKUP(Call_Center_Data[[#This Row],[Call Type ID]], Call_Type[], 2, FALSE)</f>
        <v>Tech Sup</v>
      </c>
    </row>
    <row r="70" spans="1:12" x14ac:dyDescent="0.3">
      <c r="A70">
        <v>69</v>
      </c>
      <c r="B70">
        <v>2</v>
      </c>
      <c r="C70" s="1">
        <v>44663</v>
      </c>
      <c r="D70" s="2" t="s">
        <v>78</v>
      </c>
      <c r="E70">
        <v>1</v>
      </c>
      <c r="F70">
        <v>10</v>
      </c>
      <c r="G70">
        <v>147</v>
      </c>
      <c r="H70">
        <v>150</v>
      </c>
      <c r="I70" t="str">
        <f>VLOOKUP(Call_Center_Data[[#This Row],[Emp ID]],Employee[],2,FALSE)</f>
        <v>Jill Saab</v>
      </c>
      <c r="J70" t="str">
        <f>VLOOKUP(Call_Center_Data[[#This Row],[Emp ID]], Employee[], 3, FALSE)</f>
        <v>Spokane, WA</v>
      </c>
      <c r="K70" t="str">
        <f>VLOOKUP(Call_Center_Data[[#This Row],[Emp ID]], Employee[], 4, FALSE)</f>
        <v>Timmy Gill</v>
      </c>
      <c r="L70" t="str">
        <f>VLOOKUP(Call_Center_Data[[#This Row],[Call Type ID]], Call_Type[], 2, FALSE)</f>
        <v>Sales</v>
      </c>
    </row>
    <row r="71" spans="1:12" x14ac:dyDescent="0.3">
      <c r="A71">
        <v>70</v>
      </c>
      <c r="B71">
        <v>1</v>
      </c>
      <c r="C71" s="1">
        <v>44664</v>
      </c>
      <c r="D71" s="2" t="s">
        <v>66</v>
      </c>
      <c r="E71">
        <v>1</v>
      </c>
      <c r="F71">
        <v>13</v>
      </c>
      <c r="G71">
        <v>143</v>
      </c>
      <c r="H71">
        <v>118</v>
      </c>
      <c r="I71" t="str">
        <f>VLOOKUP(Call_Center_Data[[#This Row],[Emp ID]],Employee[],2,FALSE)</f>
        <v>Tina John</v>
      </c>
      <c r="J71" t="str">
        <f>VLOOKUP(Call_Center_Data[[#This Row],[Emp ID]], Employee[], 3, FALSE)</f>
        <v>Aurora, CO</v>
      </c>
      <c r="K71" t="str">
        <f>VLOOKUP(Call_Center_Data[[#This Row],[Emp ID]], Employee[], 4, FALSE)</f>
        <v>Timmy Rhodes</v>
      </c>
      <c r="L71" t="str">
        <f>VLOOKUP(Call_Center_Data[[#This Row],[Call Type ID]], Call_Type[], 2, FALSE)</f>
        <v>Billing</v>
      </c>
    </row>
    <row r="72" spans="1:12" x14ac:dyDescent="0.3">
      <c r="A72">
        <v>71</v>
      </c>
      <c r="B72">
        <v>3</v>
      </c>
      <c r="C72" s="1">
        <v>44665</v>
      </c>
      <c r="D72" s="2" t="s">
        <v>68</v>
      </c>
      <c r="E72">
        <v>0</v>
      </c>
      <c r="F72">
        <v>12</v>
      </c>
      <c r="G72">
        <v>133</v>
      </c>
      <c r="H72">
        <v>275</v>
      </c>
      <c r="I72" t="str">
        <f>VLOOKUP(Call_Center_Data[[#This Row],[Emp ID]],Employee[],2,FALSE)</f>
        <v>Tina Saab</v>
      </c>
      <c r="J72" t="str">
        <f>VLOOKUP(Call_Center_Data[[#This Row],[Emp ID]], Employee[], 3, FALSE)</f>
        <v>Spokane, WA</v>
      </c>
      <c r="K72" t="str">
        <f>VLOOKUP(Call_Center_Data[[#This Row],[Emp ID]], Employee[], 4, FALSE)</f>
        <v>Henry Baas</v>
      </c>
      <c r="L72" t="str">
        <f>VLOOKUP(Call_Center_Data[[#This Row],[Call Type ID]], Call_Type[], 2, FALSE)</f>
        <v>Tech Sup</v>
      </c>
    </row>
    <row r="73" spans="1:12" x14ac:dyDescent="0.3">
      <c r="A73">
        <v>72</v>
      </c>
      <c r="B73">
        <v>3</v>
      </c>
      <c r="C73" s="1">
        <v>44666</v>
      </c>
      <c r="D73" s="2" t="s">
        <v>76</v>
      </c>
      <c r="E73">
        <v>0</v>
      </c>
      <c r="F73">
        <v>9</v>
      </c>
      <c r="G73">
        <v>135</v>
      </c>
      <c r="H73">
        <v>58</v>
      </c>
      <c r="I73" t="str">
        <f>VLOOKUP(Call_Center_Data[[#This Row],[Emp ID]],Employee[],2,FALSE)</f>
        <v>Ultor Saab</v>
      </c>
      <c r="J73" t="str">
        <f>VLOOKUP(Call_Center_Data[[#This Row],[Emp ID]], Employee[], 3, FALSE)</f>
        <v>Aurora, CO</v>
      </c>
      <c r="K73" t="str">
        <f>VLOOKUP(Call_Center_Data[[#This Row],[Emp ID]], Employee[], 4, FALSE)</f>
        <v>Pierce Baas</v>
      </c>
      <c r="L73" t="str">
        <f>VLOOKUP(Call_Center_Data[[#This Row],[Call Type ID]], Call_Type[], 2, FALSE)</f>
        <v>Tech Sup</v>
      </c>
    </row>
    <row r="74" spans="1:12" x14ac:dyDescent="0.3">
      <c r="A74">
        <v>73</v>
      </c>
      <c r="B74">
        <v>1</v>
      </c>
      <c r="C74" s="1">
        <v>44667</v>
      </c>
      <c r="D74" s="2" t="s">
        <v>84</v>
      </c>
      <c r="E74">
        <v>0</v>
      </c>
      <c r="F74">
        <v>12</v>
      </c>
      <c r="G74">
        <v>153</v>
      </c>
      <c r="H74">
        <v>273</v>
      </c>
      <c r="I74" t="str">
        <f>VLOOKUP(Call_Center_Data[[#This Row],[Emp ID]],Employee[],2,FALSE)</f>
        <v>Sam John</v>
      </c>
      <c r="J74" t="str">
        <f>VLOOKUP(Call_Center_Data[[#This Row],[Emp ID]], Employee[], 3, FALSE)</f>
        <v>Aurora, CO</v>
      </c>
      <c r="K74" t="str">
        <f>VLOOKUP(Call_Center_Data[[#This Row],[Emp ID]], Employee[], 4, FALSE)</f>
        <v>Jenny Mack</v>
      </c>
      <c r="L74" t="str">
        <f>VLOOKUP(Call_Center_Data[[#This Row],[Call Type ID]], Call_Type[], 2, FALSE)</f>
        <v>Billing</v>
      </c>
    </row>
    <row r="75" spans="1:12" x14ac:dyDescent="0.3">
      <c r="A75">
        <v>74</v>
      </c>
      <c r="B75">
        <v>1</v>
      </c>
      <c r="C75" s="1">
        <v>44668</v>
      </c>
      <c r="D75" s="2" t="s">
        <v>79</v>
      </c>
      <c r="E75">
        <v>1</v>
      </c>
      <c r="F75">
        <v>9</v>
      </c>
      <c r="G75">
        <v>144</v>
      </c>
      <c r="H75">
        <v>53</v>
      </c>
      <c r="I75" t="str">
        <f>VLOOKUP(Call_Center_Data[[#This Row],[Emp ID]],Employee[],2,FALSE)</f>
        <v>Gina Simons</v>
      </c>
      <c r="J75" t="str">
        <f>VLOOKUP(Call_Center_Data[[#This Row],[Emp ID]], Employee[], 3, FALSE)</f>
        <v>Spokane, WA</v>
      </c>
      <c r="K75" t="str">
        <f>VLOOKUP(Call_Center_Data[[#This Row],[Emp ID]], Employee[], 4, FALSE)</f>
        <v>John Rhodes</v>
      </c>
      <c r="L75" t="str">
        <f>VLOOKUP(Call_Center_Data[[#This Row],[Call Type ID]], Call_Type[], 2, FALSE)</f>
        <v>Billing</v>
      </c>
    </row>
    <row r="76" spans="1:12" x14ac:dyDescent="0.3">
      <c r="A76">
        <v>75</v>
      </c>
      <c r="B76">
        <v>2</v>
      </c>
      <c r="C76" s="1">
        <v>44669</v>
      </c>
      <c r="D76" s="2" t="s">
        <v>80</v>
      </c>
      <c r="E76">
        <v>1</v>
      </c>
      <c r="F76">
        <v>13</v>
      </c>
      <c r="G76">
        <v>131</v>
      </c>
      <c r="H76">
        <v>59</v>
      </c>
      <c r="I76" t="str">
        <f>VLOOKUP(Call_Center_Data[[#This Row],[Emp ID]],Employee[],2,FALSE)</f>
        <v>Tina Simons</v>
      </c>
      <c r="J76" t="str">
        <f>VLOOKUP(Call_Center_Data[[#This Row],[Emp ID]], Employee[], 3, FALSE)</f>
        <v>Aurora, CO</v>
      </c>
      <c r="K76" t="str">
        <f>VLOOKUP(Call_Center_Data[[#This Row],[Emp ID]], Employee[], 4, FALSE)</f>
        <v>Pierce Gill</v>
      </c>
      <c r="L76" t="str">
        <f>VLOOKUP(Call_Center_Data[[#This Row],[Call Type ID]], Call_Type[], 2, FALSE)</f>
        <v>Sales</v>
      </c>
    </row>
    <row r="77" spans="1:12" x14ac:dyDescent="0.3">
      <c r="A77">
        <v>76</v>
      </c>
      <c r="B77">
        <v>3</v>
      </c>
      <c r="C77" s="1">
        <v>44670</v>
      </c>
      <c r="D77" s="2" t="s">
        <v>67</v>
      </c>
      <c r="E77">
        <v>1</v>
      </c>
      <c r="F77">
        <v>9</v>
      </c>
      <c r="G77">
        <v>149</v>
      </c>
      <c r="H77">
        <v>165</v>
      </c>
      <c r="I77" t="str">
        <f>VLOOKUP(Call_Center_Data[[#This Row],[Emp ID]],Employee[],2,FALSE)</f>
        <v>Tina Pat</v>
      </c>
      <c r="J77" t="str">
        <f>VLOOKUP(Call_Center_Data[[#This Row],[Emp ID]], Employee[], 3, FALSE)</f>
        <v>Jacksonville, WA</v>
      </c>
      <c r="K77" t="str">
        <f>VLOOKUP(Call_Center_Data[[#This Row],[Emp ID]], Employee[], 4, FALSE)</f>
        <v>John Hall</v>
      </c>
      <c r="L77" t="str">
        <f>VLOOKUP(Call_Center_Data[[#This Row],[Call Type ID]], Call_Type[], 2, FALSE)</f>
        <v>Tech Sup</v>
      </c>
    </row>
    <row r="78" spans="1:12" x14ac:dyDescent="0.3">
      <c r="A78">
        <v>77</v>
      </c>
      <c r="B78">
        <v>3</v>
      </c>
      <c r="C78" s="1">
        <v>44671</v>
      </c>
      <c r="D78" s="2" t="s">
        <v>64</v>
      </c>
      <c r="E78">
        <v>1</v>
      </c>
      <c r="F78">
        <v>13</v>
      </c>
      <c r="G78">
        <v>135</v>
      </c>
      <c r="H78">
        <v>106</v>
      </c>
      <c r="I78" t="str">
        <f>VLOOKUP(Call_Center_Data[[#This Row],[Emp ID]],Employee[],2,FALSE)</f>
        <v>Jill Simons</v>
      </c>
      <c r="J78" t="str">
        <f>VLOOKUP(Call_Center_Data[[#This Row],[Emp ID]], Employee[], 3, FALSE)</f>
        <v>Spokane, WA</v>
      </c>
      <c r="K78" t="str">
        <f>VLOOKUP(Call_Center_Data[[#This Row],[Emp ID]], Employee[], 4, FALSE)</f>
        <v>Jenny Rhodes</v>
      </c>
      <c r="L78" t="str">
        <f>VLOOKUP(Call_Center_Data[[#This Row],[Call Type ID]], Call_Type[], 2, FALSE)</f>
        <v>Tech Sup</v>
      </c>
    </row>
    <row r="79" spans="1:12" x14ac:dyDescent="0.3">
      <c r="A79">
        <v>78</v>
      </c>
      <c r="B79">
        <v>1</v>
      </c>
      <c r="C79" s="1">
        <v>44672</v>
      </c>
      <c r="D79" s="2" t="s">
        <v>70</v>
      </c>
      <c r="E79">
        <v>0</v>
      </c>
      <c r="F79">
        <v>10</v>
      </c>
      <c r="G79">
        <v>114</v>
      </c>
      <c r="H79">
        <v>77</v>
      </c>
      <c r="I79" t="str">
        <f>VLOOKUP(Call_Center_Data[[#This Row],[Emp ID]],Employee[],2,FALSE)</f>
        <v>Jill Pat</v>
      </c>
      <c r="J79" t="str">
        <f>VLOOKUP(Call_Center_Data[[#This Row],[Emp ID]], Employee[], 3, FALSE)</f>
        <v>Aurora, CO</v>
      </c>
      <c r="K79" t="str">
        <f>VLOOKUP(Call_Center_Data[[#This Row],[Emp ID]], Employee[], 4, FALSE)</f>
        <v>Henry Rhodes</v>
      </c>
      <c r="L79" t="str">
        <f>VLOOKUP(Call_Center_Data[[#This Row],[Call Type ID]], Call_Type[], 2, FALSE)</f>
        <v>Billing</v>
      </c>
    </row>
    <row r="80" spans="1:12" x14ac:dyDescent="0.3">
      <c r="A80">
        <v>79</v>
      </c>
      <c r="B80">
        <v>2</v>
      </c>
      <c r="C80" s="1">
        <v>44673</v>
      </c>
      <c r="D80" s="2" t="s">
        <v>65</v>
      </c>
      <c r="E80">
        <v>1</v>
      </c>
      <c r="F80">
        <v>3</v>
      </c>
      <c r="G80">
        <v>133</v>
      </c>
      <c r="H80">
        <v>26</v>
      </c>
      <c r="I80" t="str">
        <f>VLOOKUP(Call_Center_Data[[#This Row],[Emp ID]],Employee[],2,FALSE)</f>
        <v>Ultor John</v>
      </c>
      <c r="J80" t="str">
        <f>VLOOKUP(Call_Center_Data[[#This Row],[Emp ID]], Employee[], 3, FALSE)</f>
        <v>Spokane, WA</v>
      </c>
      <c r="K80" t="str">
        <f>VLOOKUP(Call_Center_Data[[#This Row],[Emp ID]], Employee[], 4, FALSE)</f>
        <v>John Mack</v>
      </c>
      <c r="L80" t="str">
        <f>VLOOKUP(Call_Center_Data[[#This Row],[Call Type ID]], Call_Type[], 2, FALSE)</f>
        <v>Sales</v>
      </c>
    </row>
    <row r="81" spans="1:12" x14ac:dyDescent="0.3">
      <c r="A81">
        <v>80</v>
      </c>
      <c r="B81">
        <v>2</v>
      </c>
      <c r="C81" s="1">
        <v>44674</v>
      </c>
      <c r="D81" s="2" t="s">
        <v>70</v>
      </c>
      <c r="E81">
        <v>0</v>
      </c>
      <c r="F81">
        <v>12</v>
      </c>
      <c r="G81">
        <v>121</v>
      </c>
      <c r="H81">
        <v>76</v>
      </c>
      <c r="I81" t="str">
        <f>VLOOKUP(Call_Center_Data[[#This Row],[Emp ID]],Employee[],2,FALSE)</f>
        <v>Jill Pat</v>
      </c>
      <c r="J81" t="str">
        <f>VLOOKUP(Call_Center_Data[[#This Row],[Emp ID]], Employee[], 3, FALSE)</f>
        <v>Aurora, CO</v>
      </c>
      <c r="K81" t="str">
        <f>VLOOKUP(Call_Center_Data[[#This Row],[Emp ID]], Employee[], 4, FALSE)</f>
        <v>Henry Rhodes</v>
      </c>
      <c r="L81" t="str">
        <f>VLOOKUP(Call_Center_Data[[#This Row],[Call Type ID]], Call_Type[], 2, FALSE)</f>
        <v>Sales</v>
      </c>
    </row>
    <row r="82" spans="1:12" x14ac:dyDescent="0.3">
      <c r="A82">
        <v>81</v>
      </c>
      <c r="B82">
        <v>1</v>
      </c>
      <c r="C82" s="1">
        <v>44675</v>
      </c>
      <c r="D82" s="2" t="s">
        <v>65</v>
      </c>
      <c r="E82">
        <v>0</v>
      </c>
      <c r="F82">
        <v>7</v>
      </c>
      <c r="G82">
        <v>123</v>
      </c>
      <c r="H82">
        <v>76</v>
      </c>
      <c r="I82" t="str">
        <f>VLOOKUP(Call_Center_Data[[#This Row],[Emp ID]],Employee[],2,FALSE)</f>
        <v>Ultor John</v>
      </c>
      <c r="J82" t="str">
        <f>VLOOKUP(Call_Center_Data[[#This Row],[Emp ID]], Employee[], 3, FALSE)</f>
        <v>Spokane, WA</v>
      </c>
      <c r="K82" t="str">
        <f>VLOOKUP(Call_Center_Data[[#This Row],[Emp ID]], Employee[], 4, FALSE)</f>
        <v>John Mack</v>
      </c>
      <c r="L82" t="str">
        <f>VLOOKUP(Call_Center_Data[[#This Row],[Call Type ID]], Call_Type[], 2, FALSE)</f>
        <v>Billing</v>
      </c>
    </row>
    <row r="83" spans="1:12" x14ac:dyDescent="0.3">
      <c r="A83">
        <v>82</v>
      </c>
      <c r="B83">
        <v>1</v>
      </c>
      <c r="C83" s="1">
        <v>44676</v>
      </c>
      <c r="D83" s="2" t="s">
        <v>76</v>
      </c>
      <c r="E83">
        <v>1</v>
      </c>
      <c r="F83">
        <v>8</v>
      </c>
      <c r="G83">
        <v>111</v>
      </c>
      <c r="H83">
        <v>96</v>
      </c>
      <c r="I83" t="str">
        <f>VLOOKUP(Call_Center_Data[[#This Row],[Emp ID]],Employee[],2,FALSE)</f>
        <v>Ultor Saab</v>
      </c>
      <c r="J83" t="str">
        <f>VLOOKUP(Call_Center_Data[[#This Row],[Emp ID]], Employee[], 3, FALSE)</f>
        <v>Aurora, CO</v>
      </c>
      <c r="K83" t="str">
        <f>VLOOKUP(Call_Center_Data[[#This Row],[Emp ID]], Employee[], 4, FALSE)</f>
        <v>Pierce Baas</v>
      </c>
      <c r="L83" t="str">
        <f>VLOOKUP(Call_Center_Data[[#This Row],[Call Type ID]], Call_Type[], 2, FALSE)</f>
        <v>Billing</v>
      </c>
    </row>
    <row r="84" spans="1:12" x14ac:dyDescent="0.3">
      <c r="A84">
        <v>83</v>
      </c>
      <c r="B84">
        <v>3</v>
      </c>
      <c r="C84" s="1">
        <v>44677</v>
      </c>
      <c r="D84" s="2" t="s">
        <v>67</v>
      </c>
      <c r="E84">
        <v>0</v>
      </c>
      <c r="F84">
        <v>5</v>
      </c>
      <c r="G84">
        <v>120</v>
      </c>
      <c r="H84">
        <v>99</v>
      </c>
      <c r="I84" t="str">
        <f>VLOOKUP(Call_Center_Data[[#This Row],[Emp ID]],Employee[],2,FALSE)</f>
        <v>Tina Pat</v>
      </c>
      <c r="J84" t="str">
        <f>VLOOKUP(Call_Center_Data[[#This Row],[Emp ID]], Employee[], 3, FALSE)</f>
        <v>Jacksonville, WA</v>
      </c>
      <c r="K84" t="str">
        <f>VLOOKUP(Call_Center_Data[[#This Row],[Emp ID]], Employee[], 4, FALSE)</f>
        <v>John Hall</v>
      </c>
      <c r="L84" t="str">
        <f>VLOOKUP(Call_Center_Data[[#This Row],[Call Type ID]], Call_Type[], 2, FALSE)</f>
        <v>Tech Sup</v>
      </c>
    </row>
    <row r="85" spans="1:12" x14ac:dyDescent="0.3">
      <c r="A85">
        <v>84</v>
      </c>
      <c r="B85">
        <v>2</v>
      </c>
      <c r="C85" s="1">
        <v>44678</v>
      </c>
      <c r="D85" s="2" t="s">
        <v>83</v>
      </c>
      <c r="E85">
        <v>1</v>
      </c>
      <c r="F85">
        <v>20</v>
      </c>
      <c r="G85">
        <v>128</v>
      </c>
      <c r="H85">
        <v>272</v>
      </c>
      <c r="I85" t="str">
        <f>VLOOKUP(Call_Center_Data[[#This Row],[Emp ID]],Employee[],2,FALSE)</f>
        <v>Ultor Simons</v>
      </c>
      <c r="J85" t="str">
        <f>VLOOKUP(Call_Center_Data[[#This Row],[Emp ID]], Employee[], 3, FALSE)</f>
        <v>Jacksonville, WA</v>
      </c>
      <c r="K85" t="str">
        <f>VLOOKUP(Call_Center_Data[[#This Row],[Emp ID]], Employee[], 4, FALSE)</f>
        <v>Pierce Hall</v>
      </c>
      <c r="L85" t="str">
        <f>VLOOKUP(Call_Center_Data[[#This Row],[Call Type ID]], Call_Type[], 2, FALSE)</f>
        <v>Sales</v>
      </c>
    </row>
    <row r="86" spans="1:12" x14ac:dyDescent="0.3">
      <c r="A86">
        <v>85</v>
      </c>
      <c r="B86">
        <v>1</v>
      </c>
      <c r="C86" s="1">
        <v>44679</v>
      </c>
      <c r="D86" s="2" t="s">
        <v>84</v>
      </c>
      <c r="E86">
        <v>0</v>
      </c>
      <c r="F86">
        <v>23</v>
      </c>
      <c r="G86">
        <v>126</v>
      </c>
      <c r="H86">
        <v>135</v>
      </c>
      <c r="I86" t="str">
        <f>VLOOKUP(Call_Center_Data[[#This Row],[Emp ID]],Employee[],2,FALSE)</f>
        <v>Sam John</v>
      </c>
      <c r="J86" t="str">
        <f>VLOOKUP(Call_Center_Data[[#This Row],[Emp ID]], Employee[], 3, FALSE)</f>
        <v>Aurora, CO</v>
      </c>
      <c r="K86" t="str">
        <f>VLOOKUP(Call_Center_Data[[#This Row],[Emp ID]], Employee[], 4, FALSE)</f>
        <v>Jenny Mack</v>
      </c>
      <c r="L86" t="str">
        <f>VLOOKUP(Call_Center_Data[[#This Row],[Call Type ID]], Call_Type[], 2, FALSE)</f>
        <v>Billing</v>
      </c>
    </row>
    <row r="87" spans="1:12" x14ac:dyDescent="0.3">
      <c r="A87">
        <v>86</v>
      </c>
      <c r="B87">
        <v>1</v>
      </c>
      <c r="C87" s="1">
        <v>44680</v>
      </c>
      <c r="D87" s="2" t="s">
        <v>64</v>
      </c>
      <c r="E87">
        <v>0</v>
      </c>
      <c r="F87">
        <v>17</v>
      </c>
      <c r="G87">
        <v>117</v>
      </c>
      <c r="H87">
        <v>147</v>
      </c>
      <c r="I87" t="str">
        <f>VLOOKUP(Call_Center_Data[[#This Row],[Emp ID]],Employee[],2,FALSE)</f>
        <v>Jill Simons</v>
      </c>
      <c r="J87" t="str">
        <f>VLOOKUP(Call_Center_Data[[#This Row],[Emp ID]], Employee[], 3, FALSE)</f>
        <v>Spokane, WA</v>
      </c>
      <c r="K87" t="str">
        <f>VLOOKUP(Call_Center_Data[[#This Row],[Emp ID]], Employee[], 4, FALSE)</f>
        <v>Jenny Rhodes</v>
      </c>
      <c r="L87" t="str">
        <f>VLOOKUP(Call_Center_Data[[#This Row],[Call Type ID]], Call_Type[], 2, FALSE)</f>
        <v>Billing</v>
      </c>
    </row>
    <row r="88" spans="1:12" x14ac:dyDescent="0.3">
      <c r="A88">
        <v>87</v>
      </c>
      <c r="B88">
        <v>1</v>
      </c>
      <c r="C88" s="1">
        <v>44681</v>
      </c>
      <c r="D88" s="2" t="s">
        <v>79</v>
      </c>
      <c r="E88">
        <v>0</v>
      </c>
      <c r="F88">
        <v>12</v>
      </c>
      <c r="G88">
        <v>113</v>
      </c>
      <c r="H88">
        <v>125</v>
      </c>
      <c r="I88" t="str">
        <f>VLOOKUP(Call_Center_Data[[#This Row],[Emp ID]],Employee[],2,FALSE)</f>
        <v>Gina Simons</v>
      </c>
      <c r="J88" t="str">
        <f>VLOOKUP(Call_Center_Data[[#This Row],[Emp ID]], Employee[], 3, FALSE)</f>
        <v>Spokane, WA</v>
      </c>
      <c r="K88" t="str">
        <f>VLOOKUP(Call_Center_Data[[#This Row],[Emp ID]], Employee[], 4, FALSE)</f>
        <v>John Rhodes</v>
      </c>
      <c r="L88" t="str">
        <f>VLOOKUP(Call_Center_Data[[#This Row],[Call Type ID]], Call_Type[], 2, FALSE)</f>
        <v>Billing</v>
      </c>
    </row>
    <row r="89" spans="1:12" x14ac:dyDescent="0.3">
      <c r="A89">
        <v>88</v>
      </c>
      <c r="B89">
        <v>3</v>
      </c>
      <c r="C89" s="1">
        <v>44682</v>
      </c>
      <c r="D89" s="2" t="s">
        <v>74</v>
      </c>
      <c r="E89">
        <v>0</v>
      </c>
      <c r="F89">
        <v>17</v>
      </c>
      <c r="G89">
        <v>115</v>
      </c>
      <c r="H89">
        <v>121</v>
      </c>
      <c r="I89" t="str">
        <f>VLOOKUP(Call_Center_Data[[#This Row],[Emp ID]],Employee[],2,FALSE)</f>
        <v>Gina John</v>
      </c>
      <c r="J89" t="str">
        <f>VLOOKUP(Call_Center_Data[[#This Row],[Emp ID]], Employee[], 3, FALSE)</f>
        <v>Jacksonville, WA</v>
      </c>
      <c r="K89" t="str">
        <f>VLOOKUP(Call_Center_Data[[#This Row],[Emp ID]], Employee[], 4, FALSE)</f>
        <v>Henry Gill</v>
      </c>
      <c r="L89" t="str">
        <f>VLOOKUP(Call_Center_Data[[#This Row],[Call Type ID]], Call_Type[], 2, FALSE)</f>
        <v>Tech Sup</v>
      </c>
    </row>
    <row r="90" spans="1:12" x14ac:dyDescent="0.3">
      <c r="A90">
        <v>89</v>
      </c>
      <c r="B90">
        <v>3</v>
      </c>
      <c r="C90" s="1">
        <v>44683</v>
      </c>
      <c r="D90" s="2" t="s">
        <v>71</v>
      </c>
      <c r="E90">
        <v>1</v>
      </c>
      <c r="F90">
        <v>16</v>
      </c>
      <c r="G90">
        <v>114</v>
      </c>
      <c r="H90">
        <v>91</v>
      </c>
      <c r="I90" t="str">
        <f>VLOOKUP(Call_Center_Data[[#This Row],[Emp ID]],Employee[],2,FALSE)</f>
        <v>Sam Pat</v>
      </c>
      <c r="J90" t="str">
        <f>VLOOKUP(Call_Center_Data[[#This Row],[Emp ID]], Employee[], 3, FALSE)</f>
        <v>Aurora, CO</v>
      </c>
      <c r="K90" t="str">
        <f>VLOOKUP(Call_Center_Data[[#This Row],[Emp ID]], Employee[], 4, FALSE)</f>
        <v>Henry Mack</v>
      </c>
      <c r="L90" t="str">
        <f>VLOOKUP(Call_Center_Data[[#This Row],[Call Type ID]], Call_Type[], 2, FALSE)</f>
        <v>Tech Sup</v>
      </c>
    </row>
    <row r="91" spans="1:12" x14ac:dyDescent="0.3">
      <c r="A91">
        <v>90</v>
      </c>
      <c r="B91">
        <v>2</v>
      </c>
      <c r="C91" s="1">
        <v>44684</v>
      </c>
      <c r="D91" s="2" t="s">
        <v>76</v>
      </c>
      <c r="E91">
        <v>1</v>
      </c>
      <c r="F91">
        <v>4</v>
      </c>
      <c r="G91">
        <v>120</v>
      </c>
      <c r="H91">
        <v>221</v>
      </c>
      <c r="I91" t="str">
        <f>VLOOKUP(Call_Center_Data[[#This Row],[Emp ID]],Employee[],2,FALSE)</f>
        <v>Ultor Saab</v>
      </c>
      <c r="J91" t="str">
        <f>VLOOKUP(Call_Center_Data[[#This Row],[Emp ID]], Employee[], 3, FALSE)</f>
        <v>Aurora, CO</v>
      </c>
      <c r="K91" t="str">
        <f>VLOOKUP(Call_Center_Data[[#This Row],[Emp ID]], Employee[], 4, FALSE)</f>
        <v>Pierce Baas</v>
      </c>
      <c r="L91" t="str">
        <f>VLOOKUP(Call_Center_Data[[#This Row],[Call Type ID]], Call_Type[], 2, FALSE)</f>
        <v>Sales</v>
      </c>
    </row>
    <row r="92" spans="1:12" x14ac:dyDescent="0.3">
      <c r="A92">
        <v>91</v>
      </c>
      <c r="B92">
        <v>1</v>
      </c>
      <c r="C92" s="1">
        <v>44685</v>
      </c>
      <c r="D92" s="2" t="s">
        <v>81</v>
      </c>
      <c r="E92">
        <v>1</v>
      </c>
      <c r="F92">
        <v>11</v>
      </c>
      <c r="G92">
        <v>128</v>
      </c>
      <c r="H92">
        <v>94</v>
      </c>
      <c r="I92" t="str">
        <f>VLOOKUP(Call_Center_Data[[#This Row],[Emp ID]],Employee[],2,FALSE)</f>
        <v>Sam Simons</v>
      </c>
      <c r="J92" t="str">
        <f>VLOOKUP(Call_Center_Data[[#This Row],[Emp ID]], Employee[], 3, FALSE)</f>
        <v>Jacksonville, WA</v>
      </c>
      <c r="K92" t="str">
        <f>VLOOKUP(Call_Center_Data[[#This Row],[Emp ID]], Employee[], 4, FALSE)</f>
        <v>John Baas</v>
      </c>
      <c r="L92" t="str">
        <f>VLOOKUP(Call_Center_Data[[#This Row],[Call Type ID]], Call_Type[], 2, FALSE)</f>
        <v>Billing</v>
      </c>
    </row>
    <row r="93" spans="1:12" x14ac:dyDescent="0.3">
      <c r="A93">
        <v>92</v>
      </c>
      <c r="B93">
        <v>3</v>
      </c>
      <c r="C93" s="1">
        <v>44686</v>
      </c>
      <c r="D93" s="2" t="s">
        <v>64</v>
      </c>
      <c r="E93">
        <v>1</v>
      </c>
      <c r="F93">
        <v>5</v>
      </c>
      <c r="G93">
        <v>159</v>
      </c>
      <c r="H93">
        <v>20</v>
      </c>
      <c r="I93" t="str">
        <f>VLOOKUP(Call_Center_Data[[#This Row],[Emp ID]],Employee[],2,FALSE)</f>
        <v>Jill Simons</v>
      </c>
      <c r="J93" t="str">
        <f>VLOOKUP(Call_Center_Data[[#This Row],[Emp ID]], Employee[], 3, FALSE)</f>
        <v>Spokane, WA</v>
      </c>
      <c r="K93" t="str">
        <f>VLOOKUP(Call_Center_Data[[#This Row],[Emp ID]], Employee[], 4, FALSE)</f>
        <v>Jenny Rhodes</v>
      </c>
      <c r="L93" t="str">
        <f>VLOOKUP(Call_Center_Data[[#This Row],[Call Type ID]], Call_Type[], 2, FALSE)</f>
        <v>Tech Sup</v>
      </c>
    </row>
    <row r="94" spans="1:12" x14ac:dyDescent="0.3">
      <c r="A94">
        <v>93</v>
      </c>
      <c r="B94">
        <v>3</v>
      </c>
      <c r="C94" s="1">
        <v>44687</v>
      </c>
      <c r="D94" s="2" t="s">
        <v>86</v>
      </c>
      <c r="E94">
        <v>0</v>
      </c>
      <c r="F94">
        <v>9</v>
      </c>
      <c r="G94">
        <v>114</v>
      </c>
      <c r="H94">
        <v>70</v>
      </c>
      <c r="I94" t="str">
        <f>VLOOKUP(Call_Center_Data[[#This Row],[Emp ID]],Employee[],2,FALSE)</f>
        <v>Jill Gilder</v>
      </c>
      <c r="J94" t="str">
        <f>VLOOKUP(Call_Center_Data[[#This Row],[Emp ID]], Employee[], 3, FALSE)</f>
        <v>Aurora, CO</v>
      </c>
      <c r="K94" t="str">
        <f>VLOOKUP(Call_Center_Data[[#This Row],[Emp ID]], Employee[], 4, FALSE)</f>
        <v>Jenny Baas</v>
      </c>
      <c r="L94" t="str">
        <f>VLOOKUP(Call_Center_Data[[#This Row],[Call Type ID]], Call_Type[], 2, FALSE)</f>
        <v>Tech Sup</v>
      </c>
    </row>
    <row r="95" spans="1:12" x14ac:dyDescent="0.3">
      <c r="A95">
        <v>94</v>
      </c>
      <c r="B95">
        <v>1</v>
      </c>
      <c r="C95" s="1">
        <v>44688</v>
      </c>
      <c r="D95" s="2" t="s">
        <v>69</v>
      </c>
      <c r="E95">
        <v>1</v>
      </c>
      <c r="F95">
        <v>11</v>
      </c>
      <c r="G95">
        <v>117</v>
      </c>
      <c r="H95">
        <v>94</v>
      </c>
      <c r="I95" t="str">
        <f>VLOOKUP(Call_Center_Data[[#This Row],[Emp ID]],Employee[],2,FALSE)</f>
        <v>Sam Gilder</v>
      </c>
      <c r="J95" t="str">
        <f>VLOOKUP(Call_Center_Data[[#This Row],[Emp ID]], Employee[], 3, FALSE)</f>
        <v>Jacksonville, WA</v>
      </c>
      <c r="K95" t="str">
        <f>VLOOKUP(Call_Center_Data[[#This Row],[Emp ID]], Employee[], 4, FALSE)</f>
        <v>Timmy Hall</v>
      </c>
      <c r="L95" t="str">
        <f>VLOOKUP(Call_Center_Data[[#This Row],[Call Type ID]], Call_Type[], 2, FALSE)</f>
        <v>Billing</v>
      </c>
    </row>
    <row r="96" spans="1:12" x14ac:dyDescent="0.3">
      <c r="A96">
        <v>95</v>
      </c>
      <c r="B96">
        <v>1</v>
      </c>
      <c r="C96" s="1">
        <v>44689</v>
      </c>
      <c r="D96" s="2" t="s">
        <v>73</v>
      </c>
      <c r="E96">
        <v>0</v>
      </c>
      <c r="F96">
        <v>10</v>
      </c>
      <c r="G96">
        <v>128</v>
      </c>
      <c r="H96">
        <v>120</v>
      </c>
      <c r="I96" t="str">
        <f>VLOOKUP(Call_Center_Data[[#This Row],[Emp ID]],Employee[],2,FALSE)</f>
        <v>Jill John</v>
      </c>
      <c r="J96" t="str">
        <f>VLOOKUP(Call_Center_Data[[#This Row],[Emp ID]], Employee[], 3, FALSE)</f>
        <v>Spokane, WA</v>
      </c>
      <c r="K96" t="str">
        <f>VLOOKUP(Call_Center_Data[[#This Row],[Emp ID]], Employee[], 4, FALSE)</f>
        <v>John Gill</v>
      </c>
      <c r="L96" t="str">
        <f>VLOOKUP(Call_Center_Data[[#This Row],[Call Type ID]], Call_Type[], 2, FALSE)</f>
        <v>Billing</v>
      </c>
    </row>
    <row r="97" spans="1:12" x14ac:dyDescent="0.3">
      <c r="A97">
        <v>96</v>
      </c>
      <c r="B97">
        <v>3</v>
      </c>
      <c r="C97" s="1">
        <v>44690</v>
      </c>
      <c r="D97" s="2" t="s">
        <v>86</v>
      </c>
      <c r="E97">
        <v>0</v>
      </c>
      <c r="F97">
        <v>18</v>
      </c>
      <c r="G97">
        <v>128</v>
      </c>
      <c r="H97">
        <v>130</v>
      </c>
      <c r="I97" t="str">
        <f>VLOOKUP(Call_Center_Data[[#This Row],[Emp ID]],Employee[],2,FALSE)</f>
        <v>Jill Gilder</v>
      </c>
      <c r="J97" t="str">
        <f>VLOOKUP(Call_Center_Data[[#This Row],[Emp ID]], Employee[], 3, FALSE)</f>
        <v>Aurora, CO</v>
      </c>
      <c r="K97" t="str">
        <f>VLOOKUP(Call_Center_Data[[#This Row],[Emp ID]], Employee[], 4, FALSE)</f>
        <v>Jenny Baas</v>
      </c>
      <c r="L97" t="str">
        <f>VLOOKUP(Call_Center_Data[[#This Row],[Call Type ID]], Call_Type[], 2, FALSE)</f>
        <v>Tech Sup</v>
      </c>
    </row>
    <row r="98" spans="1:12" x14ac:dyDescent="0.3">
      <c r="A98">
        <v>97</v>
      </c>
      <c r="B98">
        <v>1</v>
      </c>
      <c r="C98" s="1">
        <v>44691</v>
      </c>
      <c r="D98" s="2" t="s">
        <v>75</v>
      </c>
      <c r="E98">
        <v>0</v>
      </c>
      <c r="F98">
        <v>9</v>
      </c>
      <c r="G98">
        <v>110</v>
      </c>
      <c r="H98">
        <v>84</v>
      </c>
      <c r="I98" t="str">
        <f>VLOOKUP(Call_Center_Data[[#This Row],[Emp ID]],Employee[],2,FALSE)</f>
        <v>Gina Pat</v>
      </c>
      <c r="J98" t="str">
        <f>VLOOKUP(Call_Center_Data[[#This Row],[Emp ID]], Employee[], 3, FALSE)</f>
        <v>Spokane, WA</v>
      </c>
      <c r="K98" t="str">
        <f>VLOOKUP(Call_Center_Data[[#This Row],[Emp ID]], Employee[], 4, FALSE)</f>
        <v>Henry Hall</v>
      </c>
      <c r="L98" t="str">
        <f>VLOOKUP(Call_Center_Data[[#This Row],[Call Type ID]], Call_Type[], 2, FALSE)</f>
        <v>Billing</v>
      </c>
    </row>
    <row r="99" spans="1:12" x14ac:dyDescent="0.3">
      <c r="A99">
        <v>98</v>
      </c>
      <c r="B99">
        <v>3</v>
      </c>
      <c r="C99" s="1">
        <v>44692</v>
      </c>
      <c r="D99" s="2" t="s">
        <v>73</v>
      </c>
      <c r="E99">
        <v>0</v>
      </c>
      <c r="F99">
        <v>9</v>
      </c>
      <c r="G99">
        <v>119</v>
      </c>
      <c r="H99">
        <v>143</v>
      </c>
      <c r="I99" t="str">
        <f>VLOOKUP(Call_Center_Data[[#This Row],[Emp ID]],Employee[],2,FALSE)</f>
        <v>Jill John</v>
      </c>
      <c r="J99" t="str">
        <f>VLOOKUP(Call_Center_Data[[#This Row],[Emp ID]], Employee[], 3, FALSE)</f>
        <v>Spokane, WA</v>
      </c>
      <c r="K99" t="str">
        <f>VLOOKUP(Call_Center_Data[[#This Row],[Emp ID]], Employee[], 4, FALSE)</f>
        <v>John Gill</v>
      </c>
      <c r="L99" t="str">
        <f>VLOOKUP(Call_Center_Data[[#This Row],[Call Type ID]], Call_Type[], 2, FALSE)</f>
        <v>Tech Sup</v>
      </c>
    </row>
    <row r="100" spans="1:12" x14ac:dyDescent="0.3">
      <c r="A100">
        <v>99</v>
      </c>
      <c r="B100">
        <v>2</v>
      </c>
      <c r="C100" s="1">
        <v>44693</v>
      </c>
      <c r="D100" s="2" t="s">
        <v>65</v>
      </c>
      <c r="E100">
        <v>1</v>
      </c>
      <c r="F100">
        <v>10</v>
      </c>
      <c r="G100">
        <v>129</v>
      </c>
      <c r="H100">
        <v>71</v>
      </c>
      <c r="I100" t="str">
        <f>VLOOKUP(Call_Center_Data[[#This Row],[Emp ID]],Employee[],2,FALSE)</f>
        <v>Ultor John</v>
      </c>
      <c r="J100" t="str">
        <f>VLOOKUP(Call_Center_Data[[#This Row],[Emp ID]], Employee[], 3, FALSE)</f>
        <v>Spokane, WA</v>
      </c>
      <c r="K100" t="str">
        <f>VLOOKUP(Call_Center_Data[[#This Row],[Emp ID]], Employee[], 4, FALSE)</f>
        <v>John Mack</v>
      </c>
      <c r="L100" t="str">
        <f>VLOOKUP(Call_Center_Data[[#This Row],[Call Type ID]], Call_Type[], 2, FALSE)</f>
        <v>Sales</v>
      </c>
    </row>
    <row r="101" spans="1:12" x14ac:dyDescent="0.3">
      <c r="A101">
        <v>100</v>
      </c>
      <c r="B101">
        <v>3</v>
      </c>
      <c r="C101" s="1">
        <v>44694</v>
      </c>
      <c r="D101" s="2" t="s">
        <v>82</v>
      </c>
      <c r="E101">
        <v>0</v>
      </c>
      <c r="F101">
        <v>10</v>
      </c>
      <c r="G101">
        <v>132</v>
      </c>
      <c r="H101">
        <v>165</v>
      </c>
      <c r="I101" t="str">
        <f>VLOOKUP(Call_Center_Data[[#This Row],[Emp ID]],Employee[],2,FALSE)</f>
        <v>Ultor Gilder</v>
      </c>
      <c r="J101" t="str">
        <f>VLOOKUP(Call_Center_Data[[#This Row],[Emp ID]], Employee[], 3, FALSE)</f>
        <v>Aurora, CO</v>
      </c>
      <c r="K101" t="str">
        <f>VLOOKUP(Call_Center_Data[[#This Row],[Emp ID]], Employee[], 4, FALSE)</f>
        <v>Pierce Mack</v>
      </c>
      <c r="L101" t="str">
        <f>VLOOKUP(Call_Center_Data[[#This Row],[Call Type ID]], Call_Type[], 2, FALSE)</f>
        <v>Tech Sup</v>
      </c>
    </row>
    <row r="102" spans="1:12" x14ac:dyDescent="0.3">
      <c r="A102">
        <v>101</v>
      </c>
      <c r="B102">
        <v>3</v>
      </c>
      <c r="C102" s="1">
        <v>44695</v>
      </c>
      <c r="D102" s="2" t="s">
        <v>67</v>
      </c>
      <c r="E102">
        <v>1</v>
      </c>
      <c r="F102">
        <v>7</v>
      </c>
      <c r="G102">
        <v>129</v>
      </c>
      <c r="H102">
        <v>110</v>
      </c>
      <c r="I102" t="str">
        <f>VLOOKUP(Call_Center_Data[[#This Row],[Emp ID]],Employee[],2,FALSE)</f>
        <v>Tina Pat</v>
      </c>
      <c r="J102" t="str">
        <f>VLOOKUP(Call_Center_Data[[#This Row],[Emp ID]], Employee[], 3, FALSE)</f>
        <v>Jacksonville, WA</v>
      </c>
      <c r="K102" t="str">
        <f>VLOOKUP(Call_Center_Data[[#This Row],[Emp ID]], Employee[], 4, FALSE)</f>
        <v>John Hall</v>
      </c>
      <c r="L102" t="str">
        <f>VLOOKUP(Call_Center_Data[[#This Row],[Call Type ID]], Call_Type[], 2, FALSE)</f>
        <v>Tech Sup</v>
      </c>
    </row>
    <row r="103" spans="1:12" x14ac:dyDescent="0.3">
      <c r="A103">
        <v>102</v>
      </c>
      <c r="B103">
        <v>3</v>
      </c>
      <c r="C103" s="1">
        <v>44696</v>
      </c>
      <c r="D103" s="2" t="s">
        <v>70</v>
      </c>
      <c r="E103">
        <v>1</v>
      </c>
      <c r="F103">
        <v>11</v>
      </c>
      <c r="G103">
        <v>137</v>
      </c>
      <c r="H103">
        <v>105</v>
      </c>
      <c r="I103" t="str">
        <f>VLOOKUP(Call_Center_Data[[#This Row],[Emp ID]],Employee[],2,FALSE)</f>
        <v>Jill Pat</v>
      </c>
      <c r="J103" t="str">
        <f>VLOOKUP(Call_Center_Data[[#This Row],[Emp ID]], Employee[], 3, FALSE)</f>
        <v>Aurora, CO</v>
      </c>
      <c r="K103" t="str">
        <f>VLOOKUP(Call_Center_Data[[#This Row],[Emp ID]], Employee[], 4, FALSE)</f>
        <v>Henry Rhodes</v>
      </c>
      <c r="L103" t="str">
        <f>VLOOKUP(Call_Center_Data[[#This Row],[Call Type ID]], Call_Type[], 2, FALSE)</f>
        <v>Tech Sup</v>
      </c>
    </row>
    <row r="104" spans="1:12" x14ac:dyDescent="0.3">
      <c r="A104">
        <v>103</v>
      </c>
      <c r="B104">
        <v>2</v>
      </c>
      <c r="C104" s="1">
        <v>44697</v>
      </c>
      <c r="D104" s="2" t="s">
        <v>79</v>
      </c>
      <c r="E104">
        <v>0</v>
      </c>
      <c r="F104">
        <v>11</v>
      </c>
      <c r="G104">
        <v>129</v>
      </c>
      <c r="H104">
        <v>78</v>
      </c>
      <c r="I104" t="str">
        <f>VLOOKUP(Call_Center_Data[[#This Row],[Emp ID]],Employee[],2,FALSE)</f>
        <v>Gina Simons</v>
      </c>
      <c r="J104" t="str">
        <f>VLOOKUP(Call_Center_Data[[#This Row],[Emp ID]], Employee[], 3, FALSE)</f>
        <v>Spokane, WA</v>
      </c>
      <c r="K104" t="str">
        <f>VLOOKUP(Call_Center_Data[[#This Row],[Emp ID]], Employee[], 4, FALSE)</f>
        <v>John Rhodes</v>
      </c>
      <c r="L104" t="str">
        <f>VLOOKUP(Call_Center_Data[[#This Row],[Call Type ID]], Call_Type[], 2, FALSE)</f>
        <v>Sales</v>
      </c>
    </row>
    <row r="105" spans="1:12" x14ac:dyDescent="0.3">
      <c r="A105">
        <v>104</v>
      </c>
      <c r="B105">
        <v>1</v>
      </c>
      <c r="C105" s="1">
        <v>44698</v>
      </c>
      <c r="D105" s="2" t="s">
        <v>88</v>
      </c>
      <c r="E105">
        <v>0</v>
      </c>
      <c r="F105">
        <v>7</v>
      </c>
      <c r="G105">
        <v>143</v>
      </c>
      <c r="H105">
        <v>48</v>
      </c>
      <c r="I105" t="str">
        <f>VLOOKUP(Call_Center_Data[[#This Row],[Emp ID]],Employee[],2,FALSE)</f>
        <v>Gina Gilder</v>
      </c>
      <c r="J105" t="str">
        <f>VLOOKUP(Call_Center_Data[[#This Row],[Emp ID]], Employee[], 3, FALSE)</f>
        <v>Jacksonville, WA</v>
      </c>
      <c r="K105" t="str">
        <f>VLOOKUP(Call_Center_Data[[#This Row],[Emp ID]], Employee[], 4, FALSE)</f>
        <v>Pierce Rhodes</v>
      </c>
      <c r="L105" t="str">
        <f>VLOOKUP(Call_Center_Data[[#This Row],[Call Type ID]], Call_Type[], 2, FALSE)</f>
        <v>Billing</v>
      </c>
    </row>
    <row r="106" spans="1:12" x14ac:dyDescent="0.3">
      <c r="A106">
        <v>105</v>
      </c>
      <c r="B106">
        <v>1</v>
      </c>
      <c r="C106" s="1">
        <v>44699</v>
      </c>
      <c r="D106" s="2" t="s">
        <v>86</v>
      </c>
      <c r="E106">
        <v>1</v>
      </c>
      <c r="F106">
        <v>9</v>
      </c>
      <c r="G106">
        <v>129</v>
      </c>
      <c r="H106">
        <v>110</v>
      </c>
      <c r="I106" t="str">
        <f>VLOOKUP(Call_Center_Data[[#This Row],[Emp ID]],Employee[],2,FALSE)</f>
        <v>Jill Gilder</v>
      </c>
      <c r="J106" t="str">
        <f>VLOOKUP(Call_Center_Data[[#This Row],[Emp ID]], Employee[], 3, FALSE)</f>
        <v>Aurora, CO</v>
      </c>
      <c r="K106" t="str">
        <f>VLOOKUP(Call_Center_Data[[#This Row],[Emp ID]], Employee[], 4, FALSE)</f>
        <v>Jenny Baas</v>
      </c>
      <c r="L106" t="str">
        <f>VLOOKUP(Call_Center_Data[[#This Row],[Call Type ID]], Call_Type[], 2, FALSE)</f>
        <v>Billing</v>
      </c>
    </row>
    <row r="107" spans="1:12" x14ac:dyDescent="0.3">
      <c r="A107">
        <v>106</v>
      </c>
      <c r="B107">
        <v>1</v>
      </c>
      <c r="C107" s="1">
        <v>44700</v>
      </c>
      <c r="D107" s="2" t="s">
        <v>88</v>
      </c>
      <c r="E107">
        <v>1</v>
      </c>
      <c r="F107">
        <v>16</v>
      </c>
      <c r="G107">
        <v>136</v>
      </c>
      <c r="H107">
        <v>103</v>
      </c>
      <c r="I107" t="str">
        <f>VLOOKUP(Call_Center_Data[[#This Row],[Emp ID]],Employee[],2,FALSE)</f>
        <v>Gina Gilder</v>
      </c>
      <c r="J107" t="str">
        <f>VLOOKUP(Call_Center_Data[[#This Row],[Emp ID]], Employee[], 3, FALSE)</f>
        <v>Jacksonville, WA</v>
      </c>
      <c r="K107" t="str">
        <f>VLOOKUP(Call_Center_Data[[#This Row],[Emp ID]], Employee[], 4, FALSE)</f>
        <v>Pierce Rhodes</v>
      </c>
      <c r="L107" t="str">
        <f>VLOOKUP(Call_Center_Data[[#This Row],[Call Type ID]], Call_Type[], 2, FALSE)</f>
        <v>Billing</v>
      </c>
    </row>
    <row r="108" spans="1:12" x14ac:dyDescent="0.3">
      <c r="A108">
        <v>107</v>
      </c>
      <c r="B108">
        <v>1</v>
      </c>
      <c r="C108" s="1">
        <v>44701</v>
      </c>
      <c r="D108" s="2" t="s">
        <v>87</v>
      </c>
      <c r="E108">
        <v>0</v>
      </c>
      <c r="F108">
        <v>10</v>
      </c>
      <c r="G108">
        <v>146</v>
      </c>
      <c r="H108">
        <v>110</v>
      </c>
      <c r="I108" t="str">
        <f>VLOOKUP(Call_Center_Data[[#This Row],[Emp ID]],Employee[],2,FALSE)</f>
        <v>Gina Saab</v>
      </c>
      <c r="J108" t="str">
        <f>VLOOKUP(Call_Center_Data[[#This Row],[Emp ID]], Employee[], 3, FALSE)</f>
        <v>Jacksonville, WA</v>
      </c>
      <c r="K108" t="str">
        <f>VLOOKUP(Call_Center_Data[[#This Row],[Emp ID]], Employee[], 4, FALSE)</f>
        <v>Jenny Gill</v>
      </c>
      <c r="L108" t="str">
        <f>VLOOKUP(Call_Center_Data[[#This Row],[Call Type ID]], Call_Type[], 2, FALSE)</f>
        <v>Billing</v>
      </c>
    </row>
    <row r="109" spans="1:12" x14ac:dyDescent="0.3">
      <c r="A109">
        <v>108</v>
      </c>
      <c r="B109">
        <v>2</v>
      </c>
      <c r="C109" s="1">
        <v>44702</v>
      </c>
      <c r="D109" s="2" t="s">
        <v>73</v>
      </c>
      <c r="E109">
        <v>0</v>
      </c>
      <c r="F109">
        <v>8</v>
      </c>
      <c r="G109">
        <v>128</v>
      </c>
      <c r="H109">
        <v>127</v>
      </c>
      <c r="I109" t="str">
        <f>VLOOKUP(Call_Center_Data[[#This Row],[Emp ID]],Employee[],2,FALSE)</f>
        <v>Jill John</v>
      </c>
      <c r="J109" t="str">
        <f>VLOOKUP(Call_Center_Data[[#This Row],[Emp ID]], Employee[], 3, FALSE)</f>
        <v>Spokane, WA</v>
      </c>
      <c r="K109" t="str">
        <f>VLOOKUP(Call_Center_Data[[#This Row],[Emp ID]], Employee[], 4, FALSE)</f>
        <v>John Gill</v>
      </c>
      <c r="L109" t="str">
        <f>VLOOKUP(Call_Center_Data[[#This Row],[Call Type ID]], Call_Type[], 2, FALSE)</f>
        <v>Sales</v>
      </c>
    </row>
    <row r="110" spans="1:12" x14ac:dyDescent="0.3">
      <c r="A110">
        <v>109</v>
      </c>
      <c r="B110">
        <v>2</v>
      </c>
      <c r="C110" s="1">
        <v>44703</v>
      </c>
      <c r="D110" s="2" t="s">
        <v>84</v>
      </c>
      <c r="E110">
        <v>0</v>
      </c>
      <c r="F110">
        <v>10</v>
      </c>
      <c r="G110">
        <v>135</v>
      </c>
      <c r="H110">
        <v>110</v>
      </c>
      <c r="I110" t="str">
        <f>VLOOKUP(Call_Center_Data[[#This Row],[Emp ID]],Employee[],2,FALSE)</f>
        <v>Sam John</v>
      </c>
      <c r="J110" t="str">
        <f>VLOOKUP(Call_Center_Data[[#This Row],[Emp ID]], Employee[], 3, FALSE)</f>
        <v>Aurora, CO</v>
      </c>
      <c r="K110" t="str">
        <f>VLOOKUP(Call_Center_Data[[#This Row],[Emp ID]], Employee[], 4, FALSE)</f>
        <v>Jenny Mack</v>
      </c>
      <c r="L110" t="str">
        <f>VLOOKUP(Call_Center_Data[[#This Row],[Call Type ID]], Call_Type[], 2, FALSE)</f>
        <v>Sales</v>
      </c>
    </row>
    <row r="111" spans="1:12" x14ac:dyDescent="0.3">
      <c r="A111">
        <v>110</v>
      </c>
      <c r="B111">
        <v>2</v>
      </c>
      <c r="C111" s="1">
        <v>44704</v>
      </c>
      <c r="D111" s="2" t="s">
        <v>82</v>
      </c>
      <c r="E111">
        <v>1</v>
      </c>
      <c r="F111">
        <v>9</v>
      </c>
      <c r="G111">
        <v>117</v>
      </c>
      <c r="H111">
        <v>82</v>
      </c>
      <c r="I111" t="str">
        <f>VLOOKUP(Call_Center_Data[[#This Row],[Emp ID]],Employee[],2,FALSE)</f>
        <v>Ultor Gilder</v>
      </c>
      <c r="J111" t="str">
        <f>VLOOKUP(Call_Center_Data[[#This Row],[Emp ID]], Employee[], 3, FALSE)</f>
        <v>Aurora, CO</v>
      </c>
      <c r="K111" t="str">
        <f>VLOOKUP(Call_Center_Data[[#This Row],[Emp ID]], Employee[], 4, FALSE)</f>
        <v>Pierce Mack</v>
      </c>
      <c r="L111" t="str">
        <f>VLOOKUP(Call_Center_Data[[#This Row],[Call Type ID]], Call_Type[], 2, FALSE)</f>
        <v>Sales</v>
      </c>
    </row>
    <row r="112" spans="1:12" x14ac:dyDescent="0.3">
      <c r="A112">
        <v>111</v>
      </c>
      <c r="B112">
        <v>1</v>
      </c>
      <c r="C112" s="1">
        <v>44705</v>
      </c>
      <c r="D112" s="2" t="s">
        <v>79</v>
      </c>
      <c r="E112">
        <v>0</v>
      </c>
      <c r="F112">
        <v>18</v>
      </c>
      <c r="G112">
        <v>129</v>
      </c>
      <c r="H112">
        <v>165</v>
      </c>
      <c r="I112" t="str">
        <f>VLOOKUP(Call_Center_Data[[#This Row],[Emp ID]],Employee[],2,FALSE)</f>
        <v>Gina Simons</v>
      </c>
      <c r="J112" t="str">
        <f>VLOOKUP(Call_Center_Data[[#This Row],[Emp ID]], Employee[], 3, FALSE)</f>
        <v>Spokane, WA</v>
      </c>
      <c r="K112" t="str">
        <f>VLOOKUP(Call_Center_Data[[#This Row],[Emp ID]], Employee[], 4, FALSE)</f>
        <v>John Rhodes</v>
      </c>
      <c r="L112" t="str">
        <f>VLOOKUP(Call_Center_Data[[#This Row],[Call Type ID]], Call_Type[], 2, FALSE)</f>
        <v>Billing</v>
      </c>
    </row>
    <row r="113" spans="1:12" x14ac:dyDescent="0.3">
      <c r="A113">
        <v>112</v>
      </c>
      <c r="B113">
        <v>3</v>
      </c>
      <c r="C113" s="1">
        <v>44706</v>
      </c>
      <c r="D113" s="2" t="s">
        <v>67</v>
      </c>
      <c r="E113">
        <v>1</v>
      </c>
      <c r="F113">
        <v>16</v>
      </c>
      <c r="G113">
        <v>137</v>
      </c>
      <c r="H113">
        <v>129</v>
      </c>
      <c r="I113" t="str">
        <f>VLOOKUP(Call_Center_Data[[#This Row],[Emp ID]],Employee[],2,FALSE)</f>
        <v>Tina Pat</v>
      </c>
      <c r="J113" t="str">
        <f>VLOOKUP(Call_Center_Data[[#This Row],[Emp ID]], Employee[], 3, FALSE)</f>
        <v>Jacksonville, WA</v>
      </c>
      <c r="K113" t="str">
        <f>VLOOKUP(Call_Center_Data[[#This Row],[Emp ID]], Employee[], 4, FALSE)</f>
        <v>John Hall</v>
      </c>
      <c r="L113" t="str">
        <f>VLOOKUP(Call_Center_Data[[#This Row],[Call Type ID]], Call_Type[], 2, FALSE)</f>
        <v>Tech Sup</v>
      </c>
    </row>
    <row r="114" spans="1:12" x14ac:dyDescent="0.3">
      <c r="A114">
        <v>113</v>
      </c>
      <c r="B114">
        <v>1</v>
      </c>
      <c r="C114" s="1">
        <v>44707</v>
      </c>
      <c r="D114" s="2" t="s">
        <v>68</v>
      </c>
      <c r="E114">
        <v>0</v>
      </c>
      <c r="F114">
        <v>11</v>
      </c>
      <c r="G114">
        <v>145</v>
      </c>
      <c r="H114">
        <v>97</v>
      </c>
      <c r="I114" t="str">
        <f>VLOOKUP(Call_Center_Data[[#This Row],[Emp ID]],Employee[],2,FALSE)</f>
        <v>Tina Saab</v>
      </c>
      <c r="J114" t="str">
        <f>VLOOKUP(Call_Center_Data[[#This Row],[Emp ID]], Employee[], 3, FALSE)</f>
        <v>Spokane, WA</v>
      </c>
      <c r="K114" t="str">
        <f>VLOOKUP(Call_Center_Data[[#This Row],[Emp ID]], Employee[], 4, FALSE)</f>
        <v>Henry Baas</v>
      </c>
      <c r="L114" t="str">
        <f>VLOOKUP(Call_Center_Data[[#This Row],[Call Type ID]], Call_Type[], 2, FALSE)</f>
        <v>Billing</v>
      </c>
    </row>
    <row r="115" spans="1:12" x14ac:dyDescent="0.3">
      <c r="A115">
        <v>114</v>
      </c>
      <c r="B115">
        <v>1</v>
      </c>
      <c r="C115" s="1">
        <v>44708</v>
      </c>
      <c r="D115" s="2" t="s">
        <v>81</v>
      </c>
      <c r="E115">
        <v>0</v>
      </c>
      <c r="F115">
        <v>12</v>
      </c>
      <c r="G115">
        <v>142</v>
      </c>
      <c r="H115">
        <v>74</v>
      </c>
      <c r="I115" t="str">
        <f>VLOOKUP(Call_Center_Data[[#This Row],[Emp ID]],Employee[],2,FALSE)</f>
        <v>Sam Simons</v>
      </c>
      <c r="J115" t="str">
        <f>VLOOKUP(Call_Center_Data[[#This Row],[Emp ID]], Employee[], 3, FALSE)</f>
        <v>Jacksonville, WA</v>
      </c>
      <c r="K115" t="str">
        <f>VLOOKUP(Call_Center_Data[[#This Row],[Emp ID]], Employee[], 4, FALSE)</f>
        <v>John Baas</v>
      </c>
      <c r="L115" t="str">
        <f>VLOOKUP(Call_Center_Data[[#This Row],[Call Type ID]], Call_Type[], 2, FALSE)</f>
        <v>Billing</v>
      </c>
    </row>
    <row r="116" spans="1:12" x14ac:dyDescent="0.3">
      <c r="A116">
        <v>115</v>
      </c>
      <c r="B116">
        <v>2</v>
      </c>
      <c r="C116" s="1">
        <v>44709</v>
      </c>
      <c r="D116" s="2" t="s">
        <v>65</v>
      </c>
      <c r="E116">
        <v>1</v>
      </c>
      <c r="F116">
        <v>13</v>
      </c>
      <c r="G116">
        <v>133</v>
      </c>
      <c r="H116">
        <v>76</v>
      </c>
      <c r="I116" t="str">
        <f>VLOOKUP(Call_Center_Data[[#This Row],[Emp ID]],Employee[],2,FALSE)</f>
        <v>Ultor John</v>
      </c>
      <c r="J116" t="str">
        <f>VLOOKUP(Call_Center_Data[[#This Row],[Emp ID]], Employee[], 3, FALSE)</f>
        <v>Spokane, WA</v>
      </c>
      <c r="K116" t="str">
        <f>VLOOKUP(Call_Center_Data[[#This Row],[Emp ID]], Employee[], 4, FALSE)</f>
        <v>John Mack</v>
      </c>
      <c r="L116" t="str">
        <f>VLOOKUP(Call_Center_Data[[#This Row],[Call Type ID]], Call_Type[], 2, FALSE)</f>
        <v>Sales</v>
      </c>
    </row>
    <row r="117" spans="1:12" x14ac:dyDescent="0.3">
      <c r="A117">
        <v>116</v>
      </c>
      <c r="B117">
        <v>3</v>
      </c>
      <c r="C117" s="1">
        <v>44710</v>
      </c>
      <c r="D117" s="2" t="s">
        <v>67</v>
      </c>
      <c r="E117">
        <v>1</v>
      </c>
      <c r="F117">
        <v>11</v>
      </c>
      <c r="G117">
        <v>140</v>
      </c>
      <c r="H117">
        <v>109</v>
      </c>
      <c r="I117" t="str">
        <f>VLOOKUP(Call_Center_Data[[#This Row],[Emp ID]],Employee[],2,FALSE)</f>
        <v>Tina Pat</v>
      </c>
      <c r="J117" t="str">
        <f>VLOOKUP(Call_Center_Data[[#This Row],[Emp ID]], Employee[], 3, FALSE)</f>
        <v>Jacksonville, WA</v>
      </c>
      <c r="K117" t="str">
        <f>VLOOKUP(Call_Center_Data[[#This Row],[Emp ID]], Employee[], 4, FALSE)</f>
        <v>John Hall</v>
      </c>
      <c r="L117" t="str">
        <f>VLOOKUP(Call_Center_Data[[#This Row],[Call Type ID]], Call_Type[], 2, FALSE)</f>
        <v>Tech Sup</v>
      </c>
    </row>
    <row r="118" spans="1:12" x14ac:dyDescent="0.3">
      <c r="A118">
        <v>117</v>
      </c>
      <c r="B118">
        <v>2</v>
      </c>
      <c r="C118" s="1">
        <v>44711</v>
      </c>
      <c r="D118" s="2" t="s">
        <v>74</v>
      </c>
      <c r="E118">
        <v>0</v>
      </c>
      <c r="F118">
        <v>8</v>
      </c>
      <c r="G118">
        <v>148</v>
      </c>
      <c r="H118">
        <v>55</v>
      </c>
      <c r="I118" t="str">
        <f>VLOOKUP(Call_Center_Data[[#This Row],[Emp ID]],Employee[],2,FALSE)</f>
        <v>Gina John</v>
      </c>
      <c r="J118" t="str">
        <f>VLOOKUP(Call_Center_Data[[#This Row],[Emp ID]], Employee[], 3, FALSE)</f>
        <v>Jacksonville, WA</v>
      </c>
      <c r="K118" t="str">
        <f>VLOOKUP(Call_Center_Data[[#This Row],[Emp ID]], Employee[], 4, FALSE)</f>
        <v>Henry Gill</v>
      </c>
      <c r="L118" t="str">
        <f>VLOOKUP(Call_Center_Data[[#This Row],[Call Type ID]], Call_Type[], 2, FALSE)</f>
        <v>Sales</v>
      </c>
    </row>
    <row r="119" spans="1:12" x14ac:dyDescent="0.3">
      <c r="A119">
        <v>118</v>
      </c>
      <c r="B119">
        <v>3</v>
      </c>
      <c r="C119" s="1">
        <v>44712</v>
      </c>
      <c r="D119" s="2" t="s">
        <v>88</v>
      </c>
      <c r="E119">
        <v>0</v>
      </c>
      <c r="F119">
        <v>13</v>
      </c>
      <c r="G119">
        <v>95</v>
      </c>
      <c r="H119">
        <v>171</v>
      </c>
      <c r="I119" t="str">
        <f>VLOOKUP(Call_Center_Data[[#This Row],[Emp ID]],Employee[],2,FALSE)</f>
        <v>Gina Gilder</v>
      </c>
      <c r="J119" t="str">
        <f>VLOOKUP(Call_Center_Data[[#This Row],[Emp ID]], Employee[], 3, FALSE)</f>
        <v>Jacksonville, WA</v>
      </c>
      <c r="K119" t="str">
        <f>VLOOKUP(Call_Center_Data[[#This Row],[Emp ID]], Employee[], 4, FALSE)</f>
        <v>Pierce Rhodes</v>
      </c>
      <c r="L119" t="str">
        <f>VLOOKUP(Call_Center_Data[[#This Row],[Call Type ID]], Call_Type[], 2, FALSE)</f>
        <v>Tech Sup</v>
      </c>
    </row>
    <row r="120" spans="1:12" x14ac:dyDescent="0.3">
      <c r="A120">
        <v>119</v>
      </c>
      <c r="B120">
        <v>1</v>
      </c>
      <c r="C120" s="1">
        <v>44713</v>
      </c>
      <c r="D120" s="2" t="s">
        <v>75</v>
      </c>
      <c r="E120">
        <v>0</v>
      </c>
      <c r="F120">
        <v>11</v>
      </c>
      <c r="G120">
        <v>143</v>
      </c>
      <c r="H120">
        <v>92</v>
      </c>
      <c r="I120" t="str">
        <f>VLOOKUP(Call_Center_Data[[#This Row],[Emp ID]],Employee[],2,FALSE)</f>
        <v>Gina Pat</v>
      </c>
      <c r="J120" t="str">
        <f>VLOOKUP(Call_Center_Data[[#This Row],[Emp ID]], Employee[], 3, FALSE)</f>
        <v>Spokane, WA</v>
      </c>
      <c r="K120" t="str">
        <f>VLOOKUP(Call_Center_Data[[#This Row],[Emp ID]], Employee[], 4, FALSE)</f>
        <v>Henry Hall</v>
      </c>
      <c r="L120" t="str">
        <f>VLOOKUP(Call_Center_Data[[#This Row],[Call Type ID]], Call_Type[], 2, FALSE)</f>
        <v>Billing</v>
      </c>
    </row>
    <row r="121" spans="1:12" x14ac:dyDescent="0.3">
      <c r="A121">
        <v>120</v>
      </c>
      <c r="B121">
        <v>1</v>
      </c>
      <c r="C121" s="1">
        <v>44714</v>
      </c>
      <c r="D121" s="2" t="s">
        <v>82</v>
      </c>
      <c r="E121">
        <v>1</v>
      </c>
      <c r="F121">
        <v>12</v>
      </c>
      <c r="G121">
        <v>133</v>
      </c>
      <c r="H121">
        <v>61</v>
      </c>
      <c r="I121" t="str">
        <f>VLOOKUP(Call_Center_Data[[#This Row],[Emp ID]],Employee[],2,FALSE)</f>
        <v>Ultor Gilder</v>
      </c>
      <c r="J121" t="str">
        <f>VLOOKUP(Call_Center_Data[[#This Row],[Emp ID]], Employee[], 3, FALSE)</f>
        <v>Aurora, CO</v>
      </c>
      <c r="K121" t="str">
        <f>VLOOKUP(Call_Center_Data[[#This Row],[Emp ID]], Employee[], 4, FALSE)</f>
        <v>Pierce Mack</v>
      </c>
      <c r="L121" t="str">
        <f>VLOOKUP(Call_Center_Data[[#This Row],[Call Type ID]], Call_Type[], 2, FALSE)</f>
        <v>Billing</v>
      </c>
    </row>
    <row r="122" spans="1:12" x14ac:dyDescent="0.3">
      <c r="A122">
        <v>121</v>
      </c>
      <c r="B122">
        <v>2</v>
      </c>
      <c r="C122" s="1">
        <v>44715</v>
      </c>
      <c r="D122" s="2" t="s">
        <v>66</v>
      </c>
      <c r="E122">
        <v>0</v>
      </c>
      <c r="F122">
        <v>10</v>
      </c>
      <c r="G122">
        <v>122</v>
      </c>
      <c r="H122">
        <v>166</v>
      </c>
      <c r="I122" t="str">
        <f>VLOOKUP(Call_Center_Data[[#This Row],[Emp ID]],Employee[],2,FALSE)</f>
        <v>Tina John</v>
      </c>
      <c r="J122" t="str">
        <f>VLOOKUP(Call_Center_Data[[#This Row],[Emp ID]], Employee[], 3, FALSE)</f>
        <v>Aurora, CO</v>
      </c>
      <c r="K122" t="str">
        <f>VLOOKUP(Call_Center_Data[[#This Row],[Emp ID]], Employee[], 4, FALSE)</f>
        <v>Timmy Rhodes</v>
      </c>
      <c r="L122" t="str">
        <f>VLOOKUP(Call_Center_Data[[#This Row],[Call Type ID]], Call_Type[], 2, FALSE)</f>
        <v>Sales</v>
      </c>
    </row>
    <row r="123" spans="1:12" x14ac:dyDescent="0.3">
      <c r="A123">
        <v>122</v>
      </c>
      <c r="B123">
        <v>3</v>
      </c>
      <c r="C123" s="1">
        <v>44716</v>
      </c>
      <c r="D123" s="2" t="s">
        <v>65</v>
      </c>
      <c r="E123">
        <v>1</v>
      </c>
      <c r="F123">
        <v>7</v>
      </c>
      <c r="G123">
        <v>130</v>
      </c>
      <c r="H123">
        <v>70</v>
      </c>
      <c r="I123" t="str">
        <f>VLOOKUP(Call_Center_Data[[#This Row],[Emp ID]],Employee[],2,FALSE)</f>
        <v>Ultor John</v>
      </c>
      <c r="J123" t="str">
        <f>VLOOKUP(Call_Center_Data[[#This Row],[Emp ID]], Employee[], 3, FALSE)</f>
        <v>Spokane, WA</v>
      </c>
      <c r="K123" t="str">
        <f>VLOOKUP(Call_Center_Data[[#This Row],[Emp ID]], Employee[], 4, FALSE)</f>
        <v>John Mack</v>
      </c>
      <c r="L123" t="str">
        <f>VLOOKUP(Call_Center_Data[[#This Row],[Call Type ID]], Call_Type[], 2, FALSE)</f>
        <v>Tech Sup</v>
      </c>
    </row>
    <row r="124" spans="1:12" x14ac:dyDescent="0.3">
      <c r="A124">
        <v>123</v>
      </c>
      <c r="B124">
        <v>1</v>
      </c>
      <c r="C124" s="1">
        <v>44717</v>
      </c>
      <c r="D124" s="2" t="s">
        <v>82</v>
      </c>
      <c r="E124">
        <v>1</v>
      </c>
      <c r="F124">
        <v>15</v>
      </c>
      <c r="G124">
        <v>139</v>
      </c>
      <c r="H124">
        <v>331</v>
      </c>
      <c r="I124" t="str">
        <f>VLOOKUP(Call_Center_Data[[#This Row],[Emp ID]],Employee[],2,FALSE)</f>
        <v>Ultor Gilder</v>
      </c>
      <c r="J124" t="str">
        <f>VLOOKUP(Call_Center_Data[[#This Row],[Emp ID]], Employee[], 3, FALSE)</f>
        <v>Aurora, CO</v>
      </c>
      <c r="K124" t="str">
        <f>VLOOKUP(Call_Center_Data[[#This Row],[Emp ID]], Employee[], 4, FALSE)</f>
        <v>Pierce Mack</v>
      </c>
      <c r="L124" t="str">
        <f>VLOOKUP(Call_Center_Data[[#This Row],[Call Type ID]], Call_Type[], 2, FALSE)</f>
        <v>Billing</v>
      </c>
    </row>
    <row r="125" spans="1:12" x14ac:dyDescent="0.3">
      <c r="A125">
        <v>124</v>
      </c>
      <c r="B125">
        <v>2</v>
      </c>
      <c r="C125" s="1">
        <v>44718</v>
      </c>
      <c r="D125" s="2" t="s">
        <v>67</v>
      </c>
      <c r="E125">
        <v>0</v>
      </c>
      <c r="F125">
        <v>8</v>
      </c>
      <c r="G125">
        <v>122</v>
      </c>
      <c r="H125">
        <v>57</v>
      </c>
      <c r="I125" t="str">
        <f>VLOOKUP(Call_Center_Data[[#This Row],[Emp ID]],Employee[],2,FALSE)</f>
        <v>Tina Pat</v>
      </c>
      <c r="J125" t="str">
        <f>VLOOKUP(Call_Center_Data[[#This Row],[Emp ID]], Employee[], 3, FALSE)</f>
        <v>Jacksonville, WA</v>
      </c>
      <c r="K125" t="str">
        <f>VLOOKUP(Call_Center_Data[[#This Row],[Emp ID]], Employee[], 4, FALSE)</f>
        <v>John Hall</v>
      </c>
      <c r="L125" t="str">
        <f>VLOOKUP(Call_Center_Data[[#This Row],[Call Type ID]], Call_Type[], 2, FALSE)</f>
        <v>Sales</v>
      </c>
    </row>
    <row r="126" spans="1:12" x14ac:dyDescent="0.3">
      <c r="A126">
        <v>125</v>
      </c>
      <c r="B126">
        <v>2</v>
      </c>
      <c r="C126" s="1">
        <v>44719</v>
      </c>
      <c r="D126" s="2" t="s">
        <v>77</v>
      </c>
      <c r="E126">
        <v>1</v>
      </c>
      <c r="F126">
        <v>12</v>
      </c>
      <c r="G126">
        <v>121</v>
      </c>
      <c r="H126">
        <v>70</v>
      </c>
      <c r="I126" t="str">
        <f>VLOOKUP(Call_Center_Data[[#This Row],[Emp ID]],Employee[],2,FALSE)</f>
        <v>Sam Saab</v>
      </c>
      <c r="J126" t="str">
        <f>VLOOKUP(Call_Center_Data[[#This Row],[Emp ID]], Employee[], 3, FALSE)</f>
        <v>Aurora, CO</v>
      </c>
      <c r="K126" t="str">
        <f>VLOOKUP(Call_Center_Data[[#This Row],[Emp ID]], Employee[], 4, FALSE)</f>
        <v>Timmy Mack</v>
      </c>
      <c r="L126" t="str">
        <f>VLOOKUP(Call_Center_Data[[#This Row],[Call Type ID]], Call_Type[], 2, FALSE)</f>
        <v>Sales</v>
      </c>
    </row>
    <row r="127" spans="1:12" x14ac:dyDescent="0.3">
      <c r="A127">
        <v>126</v>
      </c>
      <c r="B127">
        <v>3</v>
      </c>
      <c r="C127" s="1">
        <v>44720</v>
      </c>
      <c r="D127" s="2" t="s">
        <v>84</v>
      </c>
      <c r="E127">
        <v>0</v>
      </c>
      <c r="F127">
        <v>22</v>
      </c>
      <c r="G127">
        <v>128</v>
      </c>
      <c r="H127">
        <v>270</v>
      </c>
      <c r="I127" t="str">
        <f>VLOOKUP(Call_Center_Data[[#This Row],[Emp ID]],Employee[],2,FALSE)</f>
        <v>Sam John</v>
      </c>
      <c r="J127" t="str">
        <f>VLOOKUP(Call_Center_Data[[#This Row],[Emp ID]], Employee[], 3, FALSE)</f>
        <v>Aurora, CO</v>
      </c>
      <c r="K127" t="str">
        <f>VLOOKUP(Call_Center_Data[[#This Row],[Emp ID]], Employee[], 4, FALSE)</f>
        <v>Jenny Mack</v>
      </c>
      <c r="L127" t="str">
        <f>VLOOKUP(Call_Center_Data[[#This Row],[Call Type ID]], Call_Type[], 2, FALSE)</f>
        <v>Tech Sup</v>
      </c>
    </row>
    <row r="128" spans="1:12" x14ac:dyDescent="0.3">
      <c r="A128">
        <v>127</v>
      </c>
      <c r="B128">
        <v>1</v>
      </c>
      <c r="C128" s="1">
        <v>44721</v>
      </c>
      <c r="D128" s="2" t="s">
        <v>80</v>
      </c>
      <c r="E128">
        <v>0</v>
      </c>
      <c r="F128">
        <v>17</v>
      </c>
      <c r="G128">
        <v>133</v>
      </c>
      <c r="H128">
        <v>80</v>
      </c>
      <c r="I128" t="str">
        <f>VLOOKUP(Call_Center_Data[[#This Row],[Emp ID]],Employee[],2,FALSE)</f>
        <v>Tina Simons</v>
      </c>
      <c r="J128" t="str">
        <f>VLOOKUP(Call_Center_Data[[#This Row],[Emp ID]], Employee[], 3, FALSE)</f>
        <v>Aurora, CO</v>
      </c>
      <c r="K128" t="str">
        <f>VLOOKUP(Call_Center_Data[[#This Row],[Emp ID]], Employee[], 4, FALSE)</f>
        <v>Pierce Gill</v>
      </c>
      <c r="L128" t="str">
        <f>VLOOKUP(Call_Center_Data[[#This Row],[Call Type ID]], Call_Type[], 2, FALSE)</f>
        <v>Billing</v>
      </c>
    </row>
    <row r="129" spans="1:12" x14ac:dyDescent="0.3">
      <c r="A129">
        <v>128</v>
      </c>
      <c r="B129">
        <v>3</v>
      </c>
      <c r="C129" s="1">
        <v>44722</v>
      </c>
      <c r="D129" s="2" t="s">
        <v>77</v>
      </c>
      <c r="E129">
        <v>0</v>
      </c>
      <c r="F129">
        <v>19</v>
      </c>
      <c r="G129">
        <v>143</v>
      </c>
      <c r="H129">
        <v>122</v>
      </c>
      <c r="I129" t="str">
        <f>VLOOKUP(Call_Center_Data[[#This Row],[Emp ID]],Employee[],2,FALSE)</f>
        <v>Sam Saab</v>
      </c>
      <c r="J129" t="str">
        <f>VLOOKUP(Call_Center_Data[[#This Row],[Emp ID]], Employee[], 3, FALSE)</f>
        <v>Aurora, CO</v>
      </c>
      <c r="K129" t="str">
        <f>VLOOKUP(Call_Center_Data[[#This Row],[Emp ID]], Employee[], 4, FALSE)</f>
        <v>Timmy Mack</v>
      </c>
      <c r="L129" t="str">
        <f>VLOOKUP(Call_Center_Data[[#This Row],[Call Type ID]], Call_Type[], 2, FALSE)</f>
        <v>Tech Sup</v>
      </c>
    </row>
    <row r="130" spans="1:12" x14ac:dyDescent="0.3">
      <c r="A130">
        <v>129</v>
      </c>
      <c r="B130">
        <v>3</v>
      </c>
      <c r="C130" s="1">
        <v>44723</v>
      </c>
      <c r="D130" s="2" t="s">
        <v>85</v>
      </c>
      <c r="E130">
        <v>1</v>
      </c>
      <c r="F130">
        <v>17</v>
      </c>
      <c r="G130">
        <v>133</v>
      </c>
      <c r="H130">
        <v>90</v>
      </c>
      <c r="I130" t="str">
        <f>VLOOKUP(Call_Center_Data[[#This Row],[Emp ID]],Employee[],2,FALSE)</f>
        <v>Tina Gilder</v>
      </c>
      <c r="J130" t="str">
        <f>VLOOKUP(Call_Center_Data[[#This Row],[Emp ID]], Employee[], 3, FALSE)</f>
        <v>Spokane, WA</v>
      </c>
      <c r="K130" t="str">
        <f>VLOOKUP(Call_Center_Data[[#This Row],[Emp ID]], Employee[], 4, FALSE)</f>
        <v>Timmy Baas</v>
      </c>
      <c r="L130" t="str">
        <f>VLOOKUP(Call_Center_Data[[#This Row],[Call Type ID]], Call_Type[], 2, FALSE)</f>
        <v>Tech Sup</v>
      </c>
    </row>
    <row r="131" spans="1:12" x14ac:dyDescent="0.3">
      <c r="A131">
        <v>130</v>
      </c>
      <c r="B131">
        <v>2</v>
      </c>
      <c r="C131" s="1">
        <v>44724</v>
      </c>
      <c r="D131" s="2" t="s">
        <v>64</v>
      </c>
      <c r="E131">
        <v>1</v>
      </c>
      <c r="F131">
        <v>9</v>
      </c>
      <c r="G131">
        <v>126</v>
      </c>
      <c r="H131">
        <v>57</v>
      </c>
      <c r="I131" t="str">
        <f>VLOOKUP(Call_Center_Data[[#This Row],[Emp ID]],Employee[],2,FALSE)</f>
        <v>Jill Simons</v>
      </c>
      <c r="J131" t="str">
        <f>VLOOKUP(Call_Center_Data[[#This Row],[Emp ID]], Employee[], 3, FALSE)</f>
        <v>Spokane, WA</v>
      </c>
      <c r="K131" t="str">
        <f>VLOOKUP(Call_Center_Data[[#This Row],[Emp ID]], Employee[], 4, FALSE)</f>
        <v>Jenny Rhodes</v>
      </c>
      <c r="L131" t="str">
        <f>VLOOKUP(Call_Center_Data[[#This Row],[Call Type ID]], Call_Type[], 2, FALSE)</f>
        <v>Sales</v>
      </c>
    </row>
    <row r="132" spans="1:12" x14ac:dyDescent="0.3">
      <c r="A132">
        <v>131</v>
      </c>
      <c r="B132">
        <v>1</v>
      </c>
      <c r="C132" s="1">
        <v>44725</v>
      </c>
      <c r="D132" s="2" t="s">
        <v>67</v>
      </c>
      <c r="E132">
        <v>0</v>
      </c>
      <c r="F132">
        <v>18</v>
      </c>
      <c r="G132">
        <v>145</v>
      </c>
      <c r="H132">
        <v>113</v>
      </c>
      <c r="I132" t="str">
        <f>VLOOKUP(Call_Center_Data[[#This Row],[Emp ID]],Employee[],2,FALSE)</f>
        <v>Tina Pat</v>
      </c>
      <c r="J132" t="str">
        <f>VLOOKUP(Call_Center_Data[[#This Row],[Emp ID]], Employee[], 3, FALSE)</f>
        <v>Jacksonville, WA</v>
      </c>
      <c r="K132" t="str">
        <f>VLOOKUP(Call_Center_Data[[#This Row],[Emp ID]], Employee[], 4, FALSE)</f>
        <v>John Hall</v>
      </c>
      <c r="L132" t="str">
        <f>VLOOKUP(Call_Center_Data[[#This Row],[Call Type ID]], Call_Type[], 2, FALSE)</f>
        <v>Billing</v>
      </c>
    </row>
    <row r="133" spans="1:12" x14ac:dyDescent="0.3">
      <c r="A133">
        <v>132</v>
      </c>
      <c r="B133">
        <v>1</v>
      </c>
      <c r="C133" s="1">
        <v>44726</v>
      </c>
      <c r="D133" s="2" t="s">
        <v>86</v>
      </c>
      <c r="E133">
        <v>1</v>
      </c>
      <c r="F133">
        <v>21</v>
      </c>
      <c r="G133">
        <v>149</v>
      </c>
      <c r="H133">
        <v>116</v>
      </c>
      <c r="I133" t="str">
        <f>VLOOKUP(Call_Center_Data[[#This Row],[Emp ID]],Employee[],2,FALSE)</f>
        <v>Jill Gilder</v>
      </c>
      <c r="J133" t="str">
        <f>VLOOKUP(Call_Center_Data[[#This Row],[Emp ID]], Employee[], 3, FALSE)</f>
        <v>Aurora, CO</v>
      </c>
      <c r="K133" t="str">
        <f>VLOOKUP(Call_Center_Data[[#This Row],[Emp ID]], Employee[], 4, FALSE)</f>
        <v>Jenny Baas</v>
      </c>
      <c r="L133" t="str">
        <f>VLOOKUP(Call_Center_Data[[#This Row],[Call Type ID]], Call_Type[], 2, FALSE)</f>
        <v>Billing</v>
      </c>
    </row>
    <row r="134" spans="1:12" x14ac:dyDescent="0.3">
      <c r="A134">
        <v>133</v>
      </c>
      <c r="B134">
        <v>2</v>
      </c>
      <c r="C134" s="1">
        <v>44727</v>
      </c>
      <c r="D134" s="2" t="s">
        <v>78</v>
      </c>
      <c r="E134">
        <v>0</v>
      </c>
      <c r="F134">
        <v>14</v>
      </c>
      <c r="G134">
        <v>133</v>
      </c>
      <c r="H134">
        <v>98</v>
      </c>
      <c r="I134" t="str">
        <f>VLOOKUP(Call_Center_Data[[#This Row],[Emp ID]],Employee[],2,FALSE)</f>
        <v>Jill Saab</v>
      </c>
      <c r="J134" t="str">
        <f>VLOOKUP(Call_Center_Data[[#This Row],[Emp ID]], Employee[], 3, FALSE)</f>
        <v>Spokane, WA</v>
      </c>
      <c r="K134" t="str">
        <f>VLOOKUP(Call_Center_Data[[#This Row],[Emp ID]], Employee[], 4, FALSE)</f>
        <v>Timmy Gill</v>
      </c>
      <c r="L134" t="str">
        <f>VLOOKUP(Call_Center_Data[[#This Row],[Call Type ID]], Call_Type[], 2, FALSE)</f>
        <v>Sales</v>
      </c>
    </row>
    <row r="135" spans="1:12" x14ac:dyDescent="0.3">
      <c r="A135">
        <v>134</v>
      </c>
      <c r="B135">
        <v>2</v>
      </c>
      <c r="C135" s="1">
        <v>44728</v>
      </c>
      <c r="D135" s="2" t="s">
        <v>72</v>
      </c>
      <c r="E135">
        <v>1</v>
      </c>
      <c r="F135">
        <v>19</v>
      </c>
      <c r="G135">
        <v>140</v>
      </c>
      <c r="H135">
        <v>130</v>
      </c>
      <c r="I135" t="str">
        <f>VLOOKUP(Call_Center_Data[[#This Row],[Emp ID]],Employee[],2,FALSE)</f>
        <v>Ultor Pat</v>
      </c>
      <c r="J135" t="str">
        <f>VLOOKUP(Call_Center_Data[[#This Row],[Emp ID]], Employee[], 3, FALSE)</f>
        <v>Jacksonville, WA</v>
      </c>
      <c r="K135" t="str">
        <f>VLOOKUP(Call_Center_Data[[#This Row],[Emp ID]], Employee[], 4, FALSE)</f>
        <v>Jenny Hall</v>
      </c>
      <c r="L135" t="str">
        <f>VLOOKUP(Call_Center_Data[[#This Row],[Call Type ID]], Call_Type[], 2, FALSE)</f>
        <v>Sales</v>
      </c>
    </row>
    <row r="136" spans="1:12" x14ac:dyDescent="0.3">
      <c r="A136">
        <v>135</v>
      </c>
      <c r="B136">
        <v>2</v>
      </c>
      <c r="C136" s="1">
        <v>44729</v>
      </c>
      <c r="D136" s="2" t="s">
        <v>85</v>
      </c>
      <c r="E136">
        <v>1</v>
      </c>
      <c r="F136">
        <v>15</v>
      </c>
      <c r="G136">
        <v>150</v>
      </c>
      <c r="H136">
        <v>105</v>
      </c>
      <c r="I136" t="str">
        <f>VLOOKUP(Call_Center_Data[[#This Row],[Emp ID]],Employee[],2,FALSE)</f>
        <v>Tina Gilder</v>
      </c>
      <c r="J136" t="str">
        <f>VLOOKUP(Call_Center_Data[[#This Row],[Emp ID]], Employee[], 3, FALSE)</f>
        <v>Spokane, WA</v>
      </c>
      <c r="K136" t="str">
        <f>VLOOKUP(Call_Center_Data[[#This Row],[Emp ID]], Employee[], 4, FALSE)</f>
        <v>Timmy Baas</v>
      </c>
      <c r="L136" t="str">
        <f>VLOOKUP(Call_Center_Data[[#This Row],[Call Type ID]], Call_Type[], 2, FALSE)</f>
        <v>Sales</v>
      </c>
    </row>
    <row r="137" spans="1:12" x14ac:dyDescent="0.3">
      <c r="A137">
        <v>136</v>
      </c>
      <c r="B137">
        <v>3</v>
      </c>
      <c r="C137" s="1">
        <v>44730</v>
      </c>
      <c r="D137" s="2" t="s">
        <v>64</v>
      </c>
      <c r="E137">
        <v>0</v>
      </c>
      <c r="F137">
        <v>25</v>
      </c>
      <c r="G137">
        <v>141</v>
      </c>
      <c r="H137">
        <v>221</v>
      </c>
      <c r="I137" t="str">
        <f>VLOOKUP(Call_Center_Data[[#This Row],[Emp ID]],Employee[],2,FALSE)</f>
        <v>Jill Simons</v>
      </c>
      <c r="J137" t="str">
        <f>VLOOKUP(Call_Center_Data[[#This Row],[Emp ID]], Employee[], 3, FALSE)</f>
        <v>Spokane, WA</v>
      </c>
      <c r="K137" t="str">
        <f>VLOOKUP(Call_Center_Data[[#This Row],[Emp ID]], Employee[], 4, FALSE)</f>
        <v>Jenny Rhodes</v>
      </c>
      <c r="L137" t="str">
        <f>VLOOKUP(Call_Center_Data[[#This Row],[Call Type ID]], Call_Type[], 2, FALSE)</f>
        <v>Tech Sup</v>
      </c>
    </row>
    <row r="138" spans="1:12" x14ac:dyDescent="0.3">
      <c r="A138">
        <v>137</v>
      </c>
      <c r="B138">
        <v>2</v>
      </c>
      <c r="C138" s="1">
        <v>44731</v>
      </c>
      <c r="D138" s="2" t="s">
        <v>68</v>
      </c>
      <c r="E138">
        <v>1</v>
      </c>
      <c r="F138">
        <v>14</v>
      </c>
      <c r="G138">
        <v>138</v>
      </c>
      <c r="H138">
        <v>85</v>
      </c>
      <c r="I138" t="str">
        <f>VLOOKUP(Call_Center_Data[[#This Row],[Emp ID]],Employee[],2,FALSE)</f>
        <v>Tina Saab</v>
      </c>
      <c r="J138" t="str">
        <f>VLOOKUP(Call_Center_Data[[#This Row],[Emp ID]], Employee[], 3, FALSE)</f>
        <v>Spokane, WA</v>
      </c>
      <c r="K138" t="str">
        <f>VLOOKUP(Call_Center_Data[[#This Row],[Emp ID]], Employee[], 4, FALSE)</f>
        <v>Henry Baas</v>
      </c>
      <c r="L138" t="str">
        <f>VLOOKUP(Call_Center_Data[[#This Row],[Call Type ID]], Call_Type[], 2, FALSE)</f>
        <v>Sales</v>
      </c>
    </row>
    <row r="139" spans="1:12" x14ac:dyDescent="0.3">
      <c r="A139">
        <v>138</v>
      </c>
      <c r="B139">
        <v>1</v>
      </c>
      <c r="C139" s="1">
        <v>44732</v>
      </c>
      <c r="D139" s="2" t="s">
        <v>75</v>
      </c>
      <c r="E139">
        <v>1</v>
      </c>
      <c r="F139">
        <v>22</v>
      </c>
      <c r="G139">
        <v>121</v>
      </c>
      <c r="H139">
        <v>81</v>
      </c>
      <c r="I139" t="str">
        <f>VLOOKUP(Call_Center_Data[[#This Row],[Emp ID]],Employee[],2,FALSE)</f>
        <v>Gina Pat</v>
      </c>
      <c r="J139" t="str">
        <f>VLOOKUP(Call_Center_Data[[#This Row],[Emp ID]], Employee[], 3, FALSE)</f>
        <v>Spokane, WA</v>
      </c>
      <c r="K139" t="str">
        <f>VLOOKUP(Call_Center_Data[[#This Row],[Emp ID]], Employee[], 4, FALSE)</f>
        <v>Henry Hall</v>
      </c>
      <c r="L139" t="str">
        <f>VLOOKUP(Call_Center_Data[[#This Row],[Call Type ID]], Call_Type[], 2, FALSE)</f>
        <v>Billing</v>
      </c>
    </row>
    <row r="140" spans="1:12" x14ac:dyDescent="0.3">
      <c r="A140">
        <v>139</v>
      </c>
      <c r="B140">
        <v>1</v>
      </c>
      <c r="C140" s="1">
        <v>44733</v>
      </c>
      <c r="D140" s="2" t="s">
        <v>75</v>
      </c>
      <c r="E140">
        <v>1</v>
      </c>
      <c r="F140">
        <v>14</v>
      </c>
      <c r="G140">
        <v>140</v>
      </c>
      <c r="H140">
        <v>109</v>
      </c>
      <c r="I140" t="str">
        <f>VLOOKUP(Call_Center_Data[[#This Row],[Emp ID]],Employee[],2,FALSE)</f>
        <v>Gina Pat</v>
      </c>
      <c r="J140" t="str">
        <f>VLOOKUP(Call_Center_Data[[#This Row],[Emp ID]], Employee[], 3, FALSE)</f>
        <v>Spokane, WA</v>
      </c>
      <c r="K140" t="str">
        <f>VLOOKUP(Call_Center_Data[[#This Row],[Emp ID]], Employee[], 4, FALSE)</f>
        <v>Henry Hall</v>
      </c>
      <c r="L140" t="str">
        <f>VLOOKUP(Call_Center_Data[[#This Row],[Call Type ID]], Call_Type[], 2, FALSE)</f>
        <v>Billing</v>
      </c>
    </row>
    <row r="141" spans="1:12" x14ac:dyDescent="0.3">
      <c r="A141">
        <v>140</v>
      </c>
      <c r="B141">
        <v>2</v>
      </c>
      <c r="C141" s="1">
        <v>44734</v>
      </c>
      <c r="D141" s="2" t="s">
        <v>75</v>
      </c>
      <c r="E141">
        <v>0</v>
      </c>
      <c r="F141">
        <v>8</v>
      </c>
      <c r="G141">
        <v>130</v>
      </c>
      <c r="H141">
        <v>58</v>
      </c>
      <c r="I141" t="str">
        <f>VLOOKUP(Call_Center_Data[[#This Row],[Emp ID]],Employee[],2,FALSE)</f>
        <v>Gina Pat</v>
      </c>
      <c r="J141" t="str">
        <f>VLOOKUP(Call_Center_Data[[#This Row],[Emp ID]], Employee[], 3, FALSE)</f>
        <v>Spokane, WA</v>
      </c>
      <c r="K141" t="str">
        <f>VLOOKUP(Call_Center_Data[[#This Row],[Emp ID]], Employee[], 4, FALSE)</f>
        <v>Henry Hall</v>
      </c>
      <c r="L141" t="str">
        <f>VLOOKUP(Call_Center_Data[[#This Row],[Call Type ID]], Call_Type[], 2, FALSE)</f>
        <v>Sales</v>
      </c>
    </row>
    <row r="142" spans="1:12" x14ac:dyDescent="0.3">
      <c r="A142">
        <v>141</v>
      </c>
      <c r="B142">
        <v>2</v>
      </c>
      <c r="C142" s="1">
        <v>44735</v>
      </c>
      <c r="D142" s="2" t="s">
        <v>87</v>
      </c>
      <c r="E142">
        <v>0</v>
      </c>
      <c r="F142">
        <v>20</v>
      </c>
      <c r="G142">
        <v>118</v>
      </c>
      <c r="H142">
        <v>116</v>
      </c>
      <c r="I142" t="str">
        <f>VLOOKUP(Call_Center_Data[[#This Row],[Emp ID]],Employee[],2,FALSE)</f>
        <v>Gina Saab</v>
      </c>
      <c r="J142" t="str">
        <f>VLOOKUP(Call_Center_Data[[#This Row],[Emp ID]], Employee[], 3, FALSE)</f>
        <v>Jacksonville, WA</v>
      </c>
      <c r="K142" t="str">
        <f>VLOOKUP(Call_Center_Data[[#This Row],[Emp ID]], Employee[], 4, FALSE)</f>
        <v>Jenny Gill</v>
      </c>
      <c r="L142" t="str">
        <f>VLOOKUP(Call_Center_Data[[#This Row],[Call Type ID]], Call_Type[], 2, FALSE)</f>
        <v>Sales</v>
      </c>
    </row>
    <row r="143" spans="1:12" x14ac:dyDescent="0.3">
      <c r="A143">
        <v>142</v>
      </c>
      <c r="B143">
        <v>1</v>
      </c>
      <c r="C143" s="1">
        <v>44736</v>
      </c>
      <c r="D143" s="2" t="s">
        <v>82</v>
      </c>
      <c r="E143">
        <v>0</v>
      </c>
      <c r="F143">
        <v>14</v>
      </c>
      <c r="G143">
        <v>144</v>
      </c>
      <c r="H143">
        <v>138</v>
      </c>
      <c r="I143" t="str">
        <f>VLOOKUP(Call_Center_Data[[#This Row],[Emp ID]],Employee[],2,FALSE)</f>
        <v>Ultor Gilder</v>
      </c>
      <c r="J143" t="str">
        <f>VLOOKUP(Call_Center_Data[[#This Row],[Emp ID]], Employee[], 3, FALSE)</f>
        <v>Aurora, CO</v>
      </c>
      <c r="K143" t="str">
        <f>VLOOKUP(Call_Center_Data[[#This Row],[Emp ID]], Employee[], 4, FALSE)</f>
        <v>Pierce Mack</v>
      </c>
      <c r="L143" t="str">
        <f>VLOOKUP(Call_Center_Data[[#This Row],[Call Type ID]], Call_Type[], 2, FALSE)</f>
        <v>Billing</v>
      </c>
    </row>
    <row r="144" spans="1:12" x14ac:dyDescent="0.3">
      <c r="A144">
        <v>143</v>
      </c>
      <c r="B144">
        <v>2</v>
      </c>
      <c r="C144" s="1">
        <v>44737</v>
      </c>
      <c r="D144" s="2" t="s">
        <v>83</v>
      </c>
      <c r="E144">
        <v>1</v>
      </c>
      <c r="F144">
        <v>11</v>
      </c>
      <c r="G144">
        <v>139</v>
      </c>
      <c r="H144">
        <v>65</v>
      </c>
      <c r="I144" t="str">
        <f>VLOOKUP(Call_Center_Data[[#This Row],[Emp ID]],Employee[],2,FALSE)</f>
        <v>Ultor Simons</v>
      </c>
      <c r="J144" t="str">
        <f>VLOOKUP(Call_Center_Data[[#This Row],[Emp ID]], Employee[], 3, FALSE)</f>
        <v>Jacksonville, WA</v>
      </c>
      <c r="K144" t="str">
        <f>VLOOKUP(Call_Center_Data[[#This Row],[Emp ID]], Employee[], 4, FALSE)</f>
        <v>Pierce Hall</v>
      </c>
      <c r="L144" t="str">
        <f>VLOOKUP(Call_Center_Data[[#This Row],[Call Type ID]], Call_Type[], 2, FALSE)</f>
        <v>Sales</v>
      </c>
    </row>
    <row r="145" spans="1:12" x14ac:dyDescent="0.3">
      <c r="A145">
        <v>144</v>
      </c>
      <c r="B145">
        <v>2</v>
      </c>
      <c r="C145" s="1">
        <v>44738</v>
      </c>
      <c r="D145" s="2" t="s">
        <v>72</v>
      </c>
      <c r="E145">
        <v>1</v>
      </c>
      <c r="F145">
        <v>12</v>
      </c>
      <c r="G145">
        <v>155</v>
      </c>
      <c r="H145">
        <v>110</v>
      </c>
      <c r="I145" t="str">
        <f>VLOOKUP(Call_Center_Data[[#This Row],[Emp ID]],Employee[],2,FALSE)</f>
        <v>Ultor Pat</v>
      </c>
      <c r="J145" t="str">
        <f>VLOOKUP(Call_Center_Data[[#This Row],[Emp ID]], Employee[], 3, FALSE)</f>
        <v>Jacksonville, WA</v>
      </c>
      <c r="K145" t="str">
        <f>VLOOKUP(Call_Center_Data[[#This Row],[Emp ID]], Employee[], 4, FALSE)</f>
        <v>Jenny Hall</v>
      </c>
      <c r="L145" t="str">
        <f>VLOOKUP(Call_Center_Data[[#This Row],[Call Type ID]], Call_Type[], 2, FALSE)</f>
        <v>Sales</v>
      </c>
    </row>
    <row r="146" spans="1:12" x14ac:dyDescent="0.3">
      <c r="A146">
        <v>145</v>
      </c>
      <c r="B146">
        <v>1</v>
      </c>
      <c r="C146" s="1">
        <v>44739</v>
      </c>
      <c r="D146" s="2" t="s">
        <v>77</v>
      </c>
      <c r="E146">
        <v>0</v>
      </c>
      <c r="F146">
        <v>11</v>
      </c>
      <c r="G146">
        <v>124</v>
      </c>
      <c r="H146">
        <v>77</v>
      </c>
      <c r="I146" t="str">
        <f>VLOOKUP(Call_Center_Data[[#This Row],[Emp ID]],Employee[],2,FALSE)</f>
        <v>Sam Saab</v>
      </c>
      <c r="J146" t="str">
        <f>VLOOKUP(Call_Center_Data[[#This Row],[Emp ID]], Employee[], 3, FALSE)</f>
        <v>Aurora, CO</v>
      </c>
      <c r="K146" t="str">
        <f>VLOOKUP(Call_Center_Data[[#This Row],[Emp ID]], Employee[], 4, FALSE)</f>
        <v>Timmy Mack</v>
      </c>
      <c r="L146" t="str">
        <f>VLOOKUP(Call_Center_Data[[#This Row],[Call Type ID]], Call_Type[], 2, FALSE)</f>
        <v>Billing</v>
      </c>
    </row>
    <row r="147" spans="1:12" x14ac:dyDescent="0.3">
      <c r="A147">
        <v>146</v>
      </c>
      <c r="B147">
        <v>3</v>
      </c>
      <c r="C147" s="1">
        <v>44740</v>
      </c>
      <c r="D147" s="2" t="s">
        <v>80</v>
      </c>
      <c r="E147">
        <v>0</v>
      </c>
      <c r="F147">
        <v>11</v>
      </c>
      <c r="G147">
        <v>139</v>
      </c>
      <c r="H147">
        <v>95</v>
      </c>
      <c r="I147" t="str">
        <f>VLOOKUP(Call_Center_Data[[#This Row],[Emp ID]],Employee[],2,FALSE)</f>
        <v>Tina Simons</v>
      </c>
      <c r="J147" t="str">
        <f>VLOOKUP(Call_Center_Data[[#This Row],[Emp ID]], Employee[], 3, FALSE)</f>
        <v>Aurora, CO</v>
      </c>
      <c r="K147" t="str">
        <f>VLOOKUP(Call_Center_Data[[#This Row],[Emp ID]], Employee[], 4, FALSE)</f>
        <v>Pierce Gill</v>
      </c>
      <c r="L147" t="str">
        <f>VLOOKUP(Call_Center_Data[[#This Row],[Call Type ID]], Call_Type[], 2, FALSE)</f>
        <v>Tech Sup</v>
      </c>
    </row>
    <row r="148" spans="1:12" x14ac:dyDescent="0.3">
      <c r="A148">
        <v>147</v>
      </c>
      <c r="B148">
        <v>3</v>
      </c>
      <c r="C148" s="1">
        <v>44741</v>
      </c>
      <c r="D148" s="2" t="s">
        <v>73</v>
      </c>
      <c r="E148">
        <v>1</v>
      </c>
      <c r="F148">
        <v>14</v>
      </c>
      <c r="G148">
        <v>143</v>
      </c>
      <c r="H148">
        <v>99</v>
      </c>
      <c r="I148" t="str">
        <f>VLOOKUP(Call_Center_Data[[#This Row],[Emp ID]],Employee[],2,FALSE)</f>
        <v>Jill John</v>
      </c>
      <c r="J148" t="str">
        <f>VLOOKUP(Call_Center_Data[[#This Row],[Emp ID]], Employee[], 3, FALSE)</f>
        <v>Spokane, WA</v>
      </c>
      <c r="K148" t="str">
        <f>VLOOKUP(Call_Center_Data[[#This Row],[Emp ID]], Employee[], 4, FALSE)</f>
        <v>John Gill</v>
      </c>
      <c r="L148" t="str">
        <f>VLOOKUP(Call_Center_Data[[#This Row],[Call Type ID]], Call_Type[], 2, FALSE)</f>
        <v>Tech Sup</v>
      </c>
    </row>
    <row r="149" spans="1:12" x14ac:dyDescent="0.3">
      <c r="A149">
        <v>148</v>
      </c>
      <c r="B149">
        <v>1</v>
      </c>
      <c r="C149" s="1">
        <v>44742</v>
      </c>
      <c r="D149" s="2" t="s">
        <v>69</v>
      </c>
      <c r="E149">
        <v>0</v>
      </c>
      <c r="F149">
        <v>14</v>
      </c>
      <c r="G149">
        <v>140</v>
      </c>
      <c r="H149">
        <v>172</v>
      </c>
      <c r="I149" t="str">
        <f>VLOOKUP(Call_Center_Data[[#This Row],[Emp ID]],Employee[],2,FALSE)</f>
        <v>Sam Gilder</v>
      </c>
      <c r="J149" t="str">
        <f>VLOOKUP(Call_Center_Data[[#This Row],[Emp ID]], Employee[], 3, FALSE)</f>
        <v>Jacksonville, WA</v>
      </c>
      <c r="K149" t="str">
        <f>VLOOKUP(Call_Center_Data[[#This Row],[Emp ID]], Employee[], 4, FALSE)</f>
        <v>Timmy Hall</v>
      </c>
      <c r="L149" t="str">
        <f>VLOOKUP(Call_Center_Data[[#This Row],[Call Type ID]], Call_Type[], 2, FALSE)</f>
        <v>Billing</v>
      </c>
    </row>
    <row r="150" spans="1:12" x14ac:dyDescent="0.3">
      <c r="A150">
        <v>149</v>
      </c>
      <c r="B150">
        <v>1</v>
      </c>
      <c r="C150" s="1">
        <v>44743</v>
      </c>
      <c r="D150" s="2" t="s">
        <v>80</v>
      </c>
      <c r="E150">
        <v>0</v>
      </c>
      <c r="F150">
        <v>16</v>
      </c>
      <c r="G150">
        <v>144</v>
      </c>
      <c r="H150">
        <v>72</v>
      </c>
      <c r="I150" t="str">
        <f>VLOOKUP(Call_Center_Data[[#This Row],[Emp ID]],Employee[],2,FALSE)</f>
        <v>Tina Simons</v>
      </c>
      <c r="J150" t="str">
        <f>VLOOKUP(Call_Center_Data[[#This Row],[Emp ID]], Employee[], 3, FALSE)</f>
        <v>Aurora, CO</v>
      </c>
      <c r="K150" t="str">
        <f>VLOOKUP(Call_Center_Data[[#This Row],[Emp ID]], Employee[], 4, FALSE)</f>
        <v>Pierce Gill</v>
      </c>
      <c r="L150" t="str">
        <f>VLOOKUP(Call_Center_Data[[#This Row],[Call Type ID]], Call_Type[], 2, FALSE)</f>
        <v>Billing</v>
      </c>
    </row>
    <row r="151" spans="1:12" x14ac:dyDescent="0.3">
      <c r="A151">
        <v>150</v>
      </c>
      <c r="B151">
        <v>2</v>
      </c>
      <c r="C151" s="1">
        <v>44744</v>
      </c>
      <c r="D151" s="2" t="s">
        <v>84</v>
      </c>
      <c r="E151">
        <v>1</v>
      </c>
      <c r="F151">
        <v>9</v>
      </c>
      <c r="G151">
        <v>134</v>
      </c>
      <c r="H151">
        <v>104</v>
      </c>
      <c r="I151" t="str">
        <f>VLOOKUP(Call_Center_Data[[#This Row],[Emp ID]],Employee[],2,FALSE)</f>
        <v>Sam John</v>
      </c>
      <c r="J151" t="str">
        <f>VLOOKUP(Call_Center_Data[[#This Row],[Emp ID]], Employee[], 3, FALSE)</f>
        <v>Aurora, CO</v>
      </c>
      <c r="K151" t="str">
        <f>VLOOKUP(Call_Center_Data[[#This Row],[Emp ID]], Employee[], 4, FALSE)</f>
        <v>Jenny Mack</v>
      </c>
      <c r="L151" t="str">
        <f>VLOOKUP(Call_Center_Data[[#This Row],[Call Type ID]], Call_Type[], 2, FALSE)</f>
        <v>Sales</v>
      </c>
    </row>
    <row r="152" spans="1:12" x14ac:dyDescent="0.3">
      <c r="A152">
        <v>151</v>
      </c>
      <c r="B152">
        <v>3</v>
      </c>
      <c r="C152" s="1">
        <v>44745</v>
      </c>
      <c r="D152" s="2" t="s">
        <v>66</v>
      </c>
      <c r="E152">
        <v>0</v>
      </c>
      <c r="F152">
        <v>16</v>
      </c>
      <c r="G152">
        <v>135</v>
      </c>
      <c r="H152">
        <v>91</v>
      </c>
      <c r="I152" t="str">
        <f>VLOOKUP(Call_Center_Data[[#This Row],[Emp ID]],Employee[],2,FALSE)</f>
        <v>Tina John</v>
      </c>
      <c r="J152" t="str">
        <f>VLOOKUP(Call_Center_Data[[#This Row],[Emp ID]], Employee[], 3, FALSE)</f>
        <v>Aurora, CO</v>
      </c>
      <c r="K152" t="str">
        <f>VLOOKUP(Call_Center_Data[[#This Row],[Emp ID]], Employee[], 4, FALSE)</f>
        <v>Timmy Rhodes</v>
      </c>
      <c r="L152" t="str">
        <f>VLOOKUP(Call_Center_Data[[#This Row],[Call Type ID]], Call_Type[], 2, FALSE)</f>
        <v>Tech Sup</v>
      </c>
    </row>
    <row r="153" spans="1:12" x14ac:dyDescent="0.3">
      <c r="A153">
        <v>152</v>
      </c>
      <c r="B153">
        <v>3</v>
      </c>
      <c r="C153" s="1">
        <v>44746</v>
      </c>
      <c r="D153" s="2" t="s">
        <v>85</v>
      </c>
      <c r="E153">
        <v>0</v>
      </c>
      <c r="F153">
        <v>16</v>
      </c>
      <c r="G153">
        <v>155</v>
      </c>
      <c r="H153">
        <v>58</v>
      </c>
      <c r="I153" t="str">
        <f>VLOOKUP(Call_Center_Data[[#This Row],[Emp ID]],Employee[],2,FALSE)</f>
        <v>Tina Gilder</v>
      </c>
      <c r="J153" t="str">
        <f>VLOOKUP(Call_Center_Data[[#This Row],[Emp ID]], Employee[], 3, FALSE)</f>
        <v>Spokane, WA</v>
      </c>
      <c r="K153" t="str">
        <f>VLOOKUP(Call_Center_Data[[#This Row],[Emp ID]], Employee[], 4, FALSE)</f>
        <v>Timmy Baas</v>
      </c>
      <c r="L153" t="str">
        <f>VLOOKUP(Call_Center_Data[[#This Row],[Call Type ID]], Call_Type[], 2, FALSE)</f>
        <v>Tech Sup</v>
      </c>
    </row>
    <row r="154" spans="1:12" x14ac:dyDescent="0.3">
      <c r="A154">
        <v>153</v>
      </c>
      <c r="B154">
        <v>3</v>
      </c>
      <c r="C154" s="1">
        <v>44747</v>
      </c>
      <c r="D154" s="2" t="s">
        <v>75</v>
      </c>
      <c r="E154">
        <v>1</v>
      </c>
      <c r="F154">
        <v>17</v>
      </c>
      <c r="G154">
        <v>137</v>
      </c>
      <c r="H154">
        <v>111</v>
      </c>
      <c r="I154" t="str">
        <f>VLOOKUP(Call_Center_Data[[#This Row],[Emp ID]],Employee[],2,FALSE)</f>
        <v>Gina Pat</v>
      </c>
      <c r="J154" t="str">
        <f>VLOOKUP(Call_Center_Data[[#This Row],[Emp ID]], Employee[], 3, FALSE)</f>
        <v>Spokane, WA</v>
      </c>
      <c r="K154" t="str">
        <f>VLOOKUP(Call_Center_Data[[#This Row],[Emp ID]], Employee[], 4, FALSE)</f>
        <v>Henry Hall</v>
      </c>
      <c r="L154" t="str">
        <f>VLOOKUP(Call_Center_Data[[#This Row],[Call Type ID]], Call_Type[], 2, FALSE)</f>
        <v>Tech Sup</v>
      </c>
    </row>
    <row r="155" spans="1:12" x14ac:dyDescent="0.3">
      <c r="A155">
        <v>154</v>
      </c>
      <c r="B155">
        <v>3</v>
      </c>
      <c r="C155" s="1">
        <v>44748</v>
      </c>
      <c r="D155" s="2" t="s">
        <v>71</v>
      </c>
      <c r="E155">
        <v>0</v>
      </c>
      <c r="F155">
        <v>25</v>
      </c>
      <c r="G155">
        <v>138</v>
      </c>
      <c r="H155">
        <v>219</v>
      </c>
      <c r="I155" t="str">
        <f>VLOOKUP(Call_Center_Data[[#This Row],[Emp ID]],Employee[],2,FALSE)</f>
        <v>Sam Pat</v>
      </c>
      <c r="J155" t="str">
        <f>VLOOKUP(Call_Center_Data[[#This Row],[Emp ID]], Employee[], 3, FALSE)</f>
        <v>Aurora, CO</v>
      </c>
      <c r="K155" t="str">
        <f>VLOOKUP(Call_Center_Data[[#This Row],[Emp ID]], Employee[], 4, FALSE)</f>
        <v>Henry Mack</v>
      </c>
      <c r="L155" t="str">
        <f>VLOOKUP(Call_Center_Data[[#This Row],[Call Type ID]], Call_Type[], 2, FALSE)</f>
        <v>Tech Sup</v>
      </c>
    </row>
    <row r="156" spans="1:12" x14ac:dyDescent="0.3">
      <c r="A156">
        <v>155</v>
      </c>
      <c r="B156">
        <v>3</v>
      </c>
      <c r="C156" s="1">
        <v>44749</v>
      </c>
      <c r="D156" s="2" t="s">
        <v>77</v>
      </c>
      <c r="E156">
        <v>1</v>
      </c>
      <c r="F156">
        <v>16</v>
      </c>
      <c r="G156">
        <v>131</v>
      </c>
      <c r="H156">
        <v>165</v>
      </c>
      <c r="I156" t="str">
        <f>VLOOKUP(Call_Center_Data[[#This Row],[Emp ID]],Employee[],2,FALSE)</f>
        <v>Sam Saab</v>
      </c>
      <c r="J156" t="str">
        <f>VLOOKUP(Call_Center_Data[[#This Row],[Emp ID]], Employee[], 3, FALSE)</f>
        <v>Aurora, CO</v>
      </c>
      <c r="K156" t="str">
        <f>VLOOKUP(Call_Center_Data[[#This Row],[Emp ID]], Employee[], 4, FALSE)</f>
        <v>Timmy Mack</v>
      </c>
      <c r="L156" t="str">
        <f>VLOOKUP(Call_Center_Data[[#This Row],[Call Type ID]], Call_Type[], 2, FALSE)</f>
        <v>Tech Sup</v>
      </c>
    </row>
    <row r="157" spans="1:12" x14ac:dyDescent="0.3">
      <c r="A157">
        <v>156</v>
      </c>
      <c r="B157">
        <v>1</v>
      </c>
      <c r="C157" s="1">
        <v>44750</v>
      </c>
      <c r="D157" s="2" t="s">
        <v>65</v>
      </c>
      <c r="E157">
        <v>0</v>
      </c>
      <c r="F157">
        <v>15</v>
      </c>
      <c r="G157">
        <v>133</v>
      </c>
      <c r="H157">
        <v>198</v>
      </c>
      <c r="I157" t="str">
        <f>VLOOKUP(Call_Center_Data[[#This Row],[Emp ID]],Employee[],2,FALSE)</f>
        <v>Ultor John</v>
      </c>
      <c r="J157" t="str">
        <f>VLOOKUP(Call_Center_Data[[#This Row],[Emp ID]], Employee[], 3, FALSE)</f>
        <v>Spokane, WA</v>
      </c>
      <c r="K157" t="str">
        <f>VLOOKUP(Call_Center_Data[[#This Row],[Emp ID]], Employee[], 4, FALSE)</f>
        <v>John Mack</v>
      </c>
      <c r="L157" t="str">
        <f>VLOOKUP(Call_Center_Data[[#This Row],[Call Type ID]], Call_Type[], 2, FALSE)</f>
        <v>Billing</v>
      </c>
    </row>
    <row r="158" spans="1:12" x14ac:dyDescent="0.3">
      <c r="A158">
        <v>157</v>
      </c>
      <c r="B158">
        <v>2</v>
      </c>
      <c r="C158" s="1">
        <v>44751</v>
      </c>
      <c r="D158" s="2" t="s">
        <v>81</v>
      </c>
      <c r="E158">
        <v>0</v>
      </c>
      <c r="F158">
        <v>7</v>
      </c>
      <c r="G158">
        <v>148</v>
      </c>
      <c r="H158">
        <v>51</v>
      </c>
      <c r="I158" t="str">
        <f>VLOOKUP(Call_Center_Data[[#This Row],[Emp ID]],Employee[],2,FALSE)</f>
        <v>Sam Simons</v>
      </c>
      <c r="J158" t="str">
        <f>VLOOKUP(Call_Center_Data[[#This Row],[Emp ID]], Employee[], 3, FALSE)</f>
        <v>Jacksonville, WA</v>
      </c>
      <c r="K158" t="str">
        <f>VLOOKUP(Call_Center_Data[[#This Row],[Emp ID]], Employee[], 4, FALSE)</f>
        <v>John Baas</v>
      </c>
      <c r="L158" t="str">
        <f>VLOOKUP(Call_Center_Data[[#This Row],[Call Type ID]], Call_Type[], 2, FALSE)</f>
        <v>Sales</v>
      </c>
    </row>
    <row r="159" spans="1:12" x14ac:dyDescent="0.3">
      <c r="A159">
        <v>158</v>
      </c>
      <c r="B159">
        <v>3</v>
      </c>
      <c r="C159" s="1">
        <v>44752</v>
      </c>
      <c r="D159" s="2" t="s">
        <v>81</v>
      </c>
      <c r="E159">
        <v>0</v>
      </c>
      <c r="F159">
        <v>9</v>
      </c>
      <c r="G159">
        <v>131</v>
      </c>
      <c r="H159">
        <v>59</v>
      </c>
      <c r="I159" t="str">
        <f>VLOOKUP(Call_Center_Data[[#This Row],[Emp ID]],Employee[],2,FALSE)</f>
        <v>Sam Simons</v>
      </c>
      <c r="J159" t="str">
        <f>VLOOKUP(Call_Center_Data[[#This Row],[Emp ID]], Employee[], 3, FALSE)</f>
        <v>Jacksonville, WA</v>
      </c>
      <c r="K159" t="str">
        <f>VLOOKUP(Call_Center_Data[[#This Row],[Emp ID]], Employee[], 4, FALSE)</f>
        <v>John Baas</v>
      </c>
      <c r="L159" t="str">
        <f>VLOOKUP(Call_Center_Data[[#This Row],[Call Type ID]], Call_Type[], 2, FALSE)</f>
        <v>Tech Sup</v>
      </c>
    </row>
    <row r="160" spans="1:12" x14ac:dyDescent="0.3">
      <c r="A160">
        <v>159</v>
      </c>
      <c r="B160">
        <v>2</v>
      </c>
      <c r="C160" s="1">
        <v>44753</v>
      </c>
      <c r="D160" s="2" t="s">
        <v>68</v>
      </c>
      <c r="E160">
        <v>1</v>
      </c>
      <c r="F160">
        <v>7</v>
      </c>
      <c r="G160">
        <v>178</v>
      </c>
      <c r="H160">
        <v>58</v>
      </c>
      <c r="I160" t="str">
        <f>VLOOKUP(Call_Center_Data[[#This Row],[Emp ID]],Employee[],2,FALSE)</f>
        <v>Tina Saab</v>
      </c>
      <c r="J160" t="str">
        <f>VLOOKUP(Call_Center_Data[[#This Row],[Emp ID]], Employee[], 3, FALSE)</f>
        <v>Spokane, WA</v>
      </c>
      <c r="K160" t="str">
        <f>VLOOKUP(Call_Center_Data[[#This Row],[Emp ID]], Employee[], 4, FALSE)</f>
        <v>Henry Baas</v>
      </c>
      <c r="L160" t="str">
        <f>VLOOKUP(Call_Center_Data[[#This Row],[Call Type ID]], Call_Type[], 2, FALSE)</f>
        <v>Sales</v>
      </c>
    </row>
    <row r="161" spans="1:12" x14ac:dyDescent="0.3">
      <c r="A161">
        <v>160</v>
      </c>
      <c r="B161">
        <v>1</v>
      </c>
      <c r="C161" s="1">
        <v>44754</v>
      </c>
      <c r="D161" s="2" t="s">
        <v>72</v>
      </c>
      <c r="E161">
        <v>0</v>
      </c>
      <c r="F161">
        <v>21</v>
      </c>
      <c r="G161">
        <v>130</v>
      </c>
      <c r="H161">
        <v>286</v>
      </c>
      <c r="I161" t="str">
        <f>VLOOKUP(Call_Center_Data[[#This Row],[Emp ID]],Employee[],2,FALSE)</f>
        <v>Ultor Pat</v>
      </c>
      <c r="J161" t="str">
        <f>VLOOKUP(Call_Center_Data[[#This Row],[Emp ID]], Employee[], 3, FALSE)</f>
        <v>Jacksonville, WA</v>
      </c>
      <c r="K161" t="str">
        <f>VLOOKUP(Call_Center_Data[[#This Row],[Emp ID]], Employee[], 4, FALSE)</f>
        <v>Jenny Hall</v>
      </c>
      <c r="L161" t="str">
        <f>VLOOKUP(Call_Center_Data[[#This Row],[Call Type ID]], Call_Type[], 2, FALSE)</f>
        <v>Billing</v>
      </c>
    </row>
    <row r="162" spans="1:12" x14ac:dyDescent="0.3">
      <c r="A162">
        <v>161</v>
      </c>
      <c r="B162">
        <v>2</v>
      </c>
      <c r="C162" s="1">
        <v>44755</v>
      </c>
      <c r="D162" s="2" t="s">
        <v>67</v>
      </c>
      <c r="E162">
        <v>0</v>
      </c>
      <c r="F162">
        <v>19</v>
      </c>
      <c r="G162">
        <v>147</v>
      </c>
      <c r="H162">
        <v>110</v>
      </c>
      <c r="I162" t="str">
        <f>VLOOKUP(Call_Center_Data[[#This Row],[Emp ID]],Employee[],2,FALSE)</f>
        <v>Tina Pat</v>
      </c>
      <c r="J162" t="str">
        <f>VLOOKUP(Call_Center_Data[[#This Row],[Emp ID]], Employee[], 3, FALSE)</f>
        <v>Jacksonville, WA</v>
      </c>
      <c r="K162" t="str">
        <f>VLOOKUP(Call_Center_Data[[#This Row],[Emp ID]], Employee[], 4, FALSE)</f>
        <v>John Hall</v>
      </c>
      <c r="L162" t="str">
        <f>VLOOKUP(Call_Center_Data[[#This Row],[Call Type ID]], Call_Type[], 2, FALSE)</f>
        <v>Sales</v>
      </c>
    </row>
    <row r="163" spans="1:12" x14ac:dyDescent="0.3">
      <c r="A163">
        <v>162</v>
      </c>
      <c r="B163">
        <v>3</v>
      </c>
      <c r="C163" s="1">
        <v>44756</v>
      </c>
      <c r="D163" s="2" t="s">
        <v>68</v>
      </c>
      <c r="E163">
        <v>1</v>
      </c>
      <c r="F163">
        <v>17</v>
      </c>
      <c r="G163">
        <v>140</v>
      </c>
      <c r="H163">
        <v>109</v>
      </c>
      <c r="I163" t="str">
        <f>VLOOKUP(Call_Center_Data[[#This Row],[Emp ID]],Employee[],2,FALSE)</f>
        <v>Tina Saab</v>
      </c>
      <c r="J163" t="str">
        <f>VLOOKUP(Call_Center_Data[[#This Row],[Emp ID]], Employee[], 3, FALSE)</f>
        <v>Spokane, WA</v>
      </c>
      <c r="K163" t="str">
        <f>VLOOKUP(Call_Center_Data[[#This Row],[Emp ID]], Employee[], 4, FALSE)</f>
        <v>Henry Baas</v>
      </c>
      <c r="L163" t="str">
        <f>VLOOKUP(Call_Center_Data[[#This Row],[Call Type ID]], Call_Type[], 2, FALSE)</f>
        <v>Tech Sup</v>
      </c>
    </row>
    <row r="164" spans="1:12" x14ac:dyDescent="0.3">
      <c r="A164">
        <v>163</v>
      </c>
      <c r="B164">
        <v>3</v>
      </c>
      <c r="C164" s="1">
        <v>44757</v>
      </c>
      <c r="D164" s="2" t="s">
        <v>64</v>
      </c>
      <c r="E164">
        <v>0</v>
      </c>
      <c r="F164">
        <v>17</v>
      </c>
      <c r="G164">
        <v>142</v>
      </c>
      <c r="H164">
        <v>165</v>
      </c>
      <c r="I164" t="str">
        <f>VLOOKUP(Call_Center_Data[[#This Row],[Emp ID]],Employee[],2,FALSE)</f>
        <v>Jill Simons</v>
      </c>
      <c r="J164" t="str">
        <f>VLOOKUP(Call_Center_Data[[#This Row],[Emp ID]], Employee[], 3, FALSE)</f>
        <v>Spokane, WA</v>
      </c>
      <c r="K164" t="str">
        <f>VLOOKUP(Call_Center_Data[[#This Row],[Emp ID]], Employee[], 4, FALSE)</f>
        <v>Jenny Rhodes</v>
      </c>
      <c r="L164" t="str">
        <f>VLOOKUP(Call_Center_Data[[#This Row],[Call Type ID]], Call_Type[], 2, FALSE)</f>
        <v>Tech Sup</v>
      </c>
    </row>
    <row r="165" spans="1:12" x14ac:dyDescent="0.3">
      <c r="A165">
        <v>164</v>
      </c>
      <c r="B165">
        <v>1</v>
      </c>
      <c r="C165" s="1">
        <v>44758</v>
      </c>
      <c r="D165" s="2" t="s">
        <v>78</v>
      </c>
      <c r="E165">
        <v>0</v>
      </c>
      <c r="F165">
        <v>27</v>
      </c>
      <c r="G165">
        <v>142</v>
      </c>
      <c r="H165">
        <v>154</v>
      </c>
      <c r="I165" t="str">
        <f>VLOOKUP(Call_Center_Data[[#This Row],[Emp ID]],Employee[],2,FALSE)</f>
        <v>Jill Saab</v>
      </c>
      <c r="J165" t="str">
        <f>VLOOKUP(Call_Center_Data[[#This Row],[Emp ID]], Employee[], 3, FALSE)</f>
        <v>Spokane, WA</v>
      </c>
      <c r="K165" t="str">
        <f>VLOOKUP(Call_Center_Data[[#This Row],[Emp ID]], Employee[], 4, FALSE)</f>
        <v>Timmy Gill</v>
      </c>
      <c r="L165" t="str">
        <f>VLOOKUP(Call_Center_Data[[#This Row],[Call Type ID]], Call_Type[], 2, FALSE)</f>
        <v>Billing</v>
      </c>
    </row>
    <row r="166" spans="1:12" x14ac:dyDescent="0.3">
      <c r="A166">
        <v>165</v>
      </c>
      <c r="B166">
        <v>2</v>
      </c>
      <c r="C166" s="1">
        <v>44759</v>
      </c>
      <c r="D166" s="2" t="s">
        <v>86</v>
      </c>
      <c r="E166">
        <v>0</v>
      </c>
      <c r="F166">
        <v>16</v>
      </c>
      <c r="G166">
        <v>144</v>
      </c>
      <c r="H166">
        <v>110</v>
      </c>
      <c r="I166" t="str">
        <f>VLOOKUP(Call_Center_Data[[#This Row],[Emp ID]],Employee[],2,FALSE)</f>
        <v>Jill Gilder</v>
      </c>
      <c r="J166" t="str">
        <f>VLOOKUP(Call_Center_Data[[#This Row],[Emp ID]], Employee[], 3, FALSE)</f>
        <v>Aurora, CO</v>
      </c>
      <c r="K166" t="str">
        <f>VLOOKUP(Call_Center_Data[[#This Row],[Emp ID]], Employee[], 4, FALSE)</f>
        <v>Jenny Baas</v>
      </c>
      <c r="L166" t="str">
        <f>VLOOKUP(Call_Center_Data[[#This Row],[Call Type ID]], Call_Type[], 2, FALSE)</f>
        <v>Sales</v>
      </c>
    </row>
    <row r="167" spans="1:12" x14ac:dyDescent="0.3">
      <c r="A167">
        <v>166</v>
      </c>
      <c r="B167">
        <v>3</v>
      </c>
      <c r="C167" s="1">
        <v>44760</v>
      </c>
      <c r="D167" s="2" t="s">
        <v>83</v>
      </c>
      <c r="E167">
        <v>0</v>
      </c>
      <c r="F167">
        <v>21</v>
      </c>
      <c r="G167">
        <v>160</v>
      </c>
      <c r="H167">
        <v>58</v>
      </c>
      <c r="I167" t="str">
        <f>VLOOKUP(Call_Center_Data[[#This Row],[Emp ID]],Employee[],2,FALSE)</f>
        <v>Ultor Simons</v>
      </c>
      <c r="J167" t="str">
        <f>VLOOKUP(Call_Center_Data[[#This Row],[Emp ID]], Employee[], 3, FALSE)</f>
        <v>Jacksonville, WA</v>
      </c>
      <c r="K167" t="str">
        <f>VLOOKUP(Call_Center_Data[[#This Row],[Emp ID]], Employee[], 4, FALSE)</f>
        <v>Pierce Hall</v>
      </c>
      <c r="L167" t="str">
        <f>VLOOKUP(Call_Center_Data[[#This Row],[Call Type ID]], Call_Type[], 2, FALSE)</f>
        <v>Tech Sup</v>
      </c>
    </row>
    <row r="168" spans="1:12" x14ac:dyDescent="0.3">
      <c r="A168">
        <v>167</v>
      </c>
      <c r="B168">
        <v>3</v>
      </c>
      <c r="C168" s="1">
        <v>44761</v>
      </c>
      <c r="D168" s="2" t="s">
        <v>69</v>
      </c>
      <c r="E168">
        <v>1</v>
      </c>
      <c r="F168">
        <v>6</v>
      </c>
      <c r="G168">
        <v>126</v>
      </c>
      <c r="H168">
        <v>57</v>
      </c>
      <c r="I168" t="str">
        <f>VLOOKUP(Call_Center_Data[[#This Row],[Emp ID]],Employee[],2,FALSE)</f>
        <v>Sam Gilder</v>
      </c>
      <c r="J168" t="str">
        <f>VLOOKUP(Call_Center_Data[[#This Row],[Emp ID]], Employee[], 3, FALSE)</f>
        <v>Jacksonville, WA</v>
      </c>
      <c r="K168" t="str">
        <f>VLOOKUP(Call_Center_Data[[#This Row],[Emp ID]], Employee[], 4, FALSE)</f>
        <v>Timmy Hall</v>
      </c>
      <c r="L168" t="str">
        <f>VLOOKUP(Call_Center_Data[[#This Row],[Call Type ID]], Call_Type[], 2, FALSE)</f>
        <v>Tech Sup</v>
      </c>
    </row>
    <row r="169" spans="1:12" x14ac:dyDescent="0.3">
      <c r="A169">
        <v>168</v>
      </c>
      <c r="B169">
        <v>2</v>
      </c>
      <c r="C169" s="1">
        <v>44762</v>
      </c>
      <c r="D169" s="2" t="s">
        <v>78</v>
      </c>
      <c r="E169">
        <v>1</v>
      </c>
      <c r="F169">
        <v>20</v>
      </c>
      <c r="G169">
        <v>143</v>
      </c>
      <c r="H169">
        <v>171</v>
      </c>
      <c r="I169" t="str">
        <f>VLOOKUP(Call_Center_Data[[#This Row],[Emp ID]],Employee[],2,FALSE)</f>
        <v>Jill Saab</v>
      </c>
      <c r="J169" t="str">
        <f>VLOOKUP(Call_Center_Data[[#This Row],[Emp ID]], Employee[], 3, FALSE)</f>
        <v>Spokane, WA</v>
      </c>
      <c r="K169" t="str">
        <f>VLOOKUP(Call_Center_Data[[#This Row],[Emp ID]], Employee[], 4, FALSE)</f>
        <v>Timmy Gill</v>
      </c>
      <c r="L169" t="str">
        <f>VLOOKUP(Call_Center_Data[[#This Row],[Call Type ID]], Call_Type[], 2, FALSE)</f>
        <v>Sales</v>
      </c>
    </row>
    <row r="170" spans="1:12" x14ac:dyDescent="0.3">
      <c r="A170">
        <v>169</v>
      </c>
      <c r="B170">
        <v>3</v>
      </c>
      <c r="C170" s="1">
        <v>44763</v>
      </c>
      <c r="D170" s="2" t="s">
        <v>88</v>
      </c>
      <c r="E170">
        <v>1</v>
      </c>
      <c r="F170">
        <v>10</v>
      </c>
      <c r="G170">
        <v>145</v>
      </c>
      <c r="H170">
        <v>59</v>
      </c>
      <c r="I170" t="str">
        <f>VLOOKUP(Call_Center_Data[[#This Row],[Emp ID]],Employee[],2,FALSE)</f>
        <v>Gina Gilder</v>
      </c>
      <c r="J170" t="str">
        <f>VLOOKUP(Call_Center_Data[[#This Row],[Emp ID]], Employee[], 3, FALSE)</f>
        <v>Jacksonville, WA</v>
      </c>
      <c r="K170" t="str">
        <f>VLOOKUP(Call_Center_Data[[#This Row],[Emp ID]], Employee[], 4, FALSE)</f>
        <v>Pierce Rhodes</v>
      </c>
      <c r="L170" t="str">
        <f>VLOOKUP(Call_Center_Data[[#This Row],[Call Type ID]], Call_Type[], 2, FALSE)</f>
        <v>Tech Sup</v>
      </c>
    </row>
    <row r="171" spans="1:12" x14ac:dyDescent="0.3">
      <c r="A171">
        <v>170</v>
      </c>
      <c r="B171">
        <v>3</v>
      </c>
      <c r="C171" s="1">
        <v>44764</v>
      </c>
      <c r="D171" s="2" t="s">
        <v>66</v>
      </c>
      <c r="E171">
        <v>1</v>
      </c>
      <c r="F171">
        <v>15</v>
      </c>
      <c r="G171">
        <v>142</v>
      </c>
      <c r="H171">
        <v>275</v>
      </c>
      <c r="I171" t="str">
        <f>VLOOKUP(Call_Center_Data[[#This Row],[Emp ID]],Employee[],2,FALSE)</f>
        <v>Tina John</v>
      </c>
      <c r="J171" t="str">
        <f>VLOOKUP(Call_Center_Data[[#This Row],[Emp ID]], Employee[], 3, FALSE)</f>
        <v>Aurora, CO</v>
      </c>
      <c r="K171" t="str">
        <f>VLOOKUP(Call_Center_Data[[#This Row],[Emp ID]], Employee[], 4, FALSE)</f>
        <v>Timmy Rhodes</v>
      </c>
      <c r="L171" t="str">
        <f>VLOOKUP(Call_Center_Data[[#This Row],[Call Type ID]], Call_Type[], 2, FALSE)</f>
        <v>Tech Sup</v>
      </c>
    </row>
    <row r="172" spans="1:12" x14ac:dyDescent="0.3">
      <c r="A172">
        <v>171</v>
      </c>
      <c r="B172">
        <v>1</v>
      </c>
      <c r="C172" s="1">
        <v>44765</v>
      </c>
      <c r="D172" s="2" t="s">
        <v>87</v>
      </c>
      <c r="E172">
        <v>0</v>
      </c>
      <c r="F172">
        <v>16</v>
      </c>
      <c r="G172">
        <v>142</v>
      </c>
      <c r="H172">
        <v>105</v>
      </c>
      <c r="I172" t="str">
        <f>VLOOKUP(Call_Center_Data[[#This Row],[Emp ID]],Employee[],2,FALSE)</f>
        <v>Gina Saab</v>
      </c>
      <c r="J172" t="str">
        <f>VLOOKUP(Call_Center_Data[[#This Row],[Emp ID]], Employee[], 3, FALSE)</f>
        <v>Jacksonville, WA</v>
      </c>
      <c r="K172" t="str">
        <f>VLOOKUP(Call_Center_Data[[#This Row],[Emp ID]], Employee[], 4, FALSE)</f>
        <v>Jenny Gill</v>
      </c>
      <c r="L172" t="str">
        <f>VLOOKUP(Call_Center_Data[[#This Row],[Call Type ID]], Call_Type[], 2, FALSE)</f>
        <v>Billing</v>
      </c>
    </row>
    <row r="173" spans="1:12" x14ac:dyDescent="0.3">
      <c r="A173">
        <v>172</v>
      </c>
      <c r="B173">
        <v>1</v>
      </c>
      <c r="C173" s="1">
        <v>44766</v>
      </c>
      <c r="D173" s="2" t="s">
        <v>86</v>
      </c>
      <c r="E173">
        <v>0</v>
      </c>
      <c r="F173">
        <v>16</v>
      </c>
      <c r="G173">
        <v>131</v>
      </c>
      <c r="H173">
        <v>191</v>
      </c>
      <c r="I173" t="str">
        <f>VLOOKUP(Call_Center_Data[[#This Row],[Emp ID]],Employee[],2,FALSE)</f>
        <v>Jill Gilder</v>
      </c>
      <c r="J173" t="str">
        <f>VLOOKUP(Call_Center_Data[[#This Row],[Emp ID]], Employee[], 3, FALSE)</f>
        <v>Aurora, CO</v>
      </c>
      <c r="K173" t="str">
        <f>VLOOKUP(Call_Center_Data[[#This Row],[Emp ID]], Employee[], 4, FALSE)</f>
        <v>Jenny Baas</v>
      </c>
      <c r="L173" t="str">
        <f>VLOOKUP(Call_Center_Data[[#This Row],[Call Type ID]], Call_Type[], 2, FALSE)</f>
        <v>Billing</v>
      </c>
    </row>
    <row r="174" spans="1:12" x14ac:dyDescent="0.3">
      <c r="A174">
        <v>173</v>
      </c>
      <c r="B174">
        <v>2</v>
      </c>
      <c r="C174" s="1">
        <v>44767</v>
      </c>
      <c r="D174" s="2" t="s">
        <v>71</v>
      </c>
      <c r="E174">
        <v>0</v>
      </c>
      <c r="F174">
        <v>32</v>
      </c>
      <c r="G174">
        <v>122</v>
      </c>
      <c r="H174">
        <v>163</v>
      </c>
      <c r="I174" t="str">
        <f>VLOOKUP(Call_Center_Data[[#This Row],[Emp ID]],Employee[],2,FALSE)</f>
        <v>Sam Pat</v>
      </c>
      <c r="J174" t="str">
        <f>VLOOKUP(Call_Center_Data[[#This Row],[Emp ID]], Employee[], 3, FALSE)</f>
        <v>Aurora, CO</v>
      </c>
      <c r="K174" t="str">
        <f>VLOOKUP(Call_Center_Data[[#This Row],[Emp ID]], Employee[], 4, FALSE)</f>
        <v>Henry Mack</v>
      </c>
      <c r="L174" t="str">
        <f>VLOOKUP(Call_Center_Data[[#This Row],[Call Type ID]], Call_Type[], 2, FALSE)</f>
        <v>Sales</v>
      </c>
    </row>
    <row r="175" spans="1:12" x14ac:dyDescent="0.3">
      <c r="A175">
        <v>174</v>
      </c>
      <c r="B175">
        <v>2</v>
      </c>
      <c r="C175" s="1">
        <v>44768</v>
      </c>
      <c r="D175" s="2" t="s">
        <v>77</v>
      </c>
      <c r="E175">
        <v>1</v>
      </c>
      <c r="F175">
        <v>24</v>
      </c>
      <c r="G175">
        <v>158</v>
      </c>
      <c r="H175">
        <v>149</v>
      </c>
      <c r="I175" t="str">
        <f>VLOOKUP(Call_Center_Data[[#This Row],[Emp ID]],Employee[],2,FALSE)</f>
        <v>Sam Saab</v>
      </c>
      <c r="J175" t="str">
        <f>VLOOKUP(Call_Center_Data[[#This Row],[Emp ID]], Employee[], 3, FALSE)</f>
        <v>Aurora, CO</v>
      </c>
      <c r="K175" t="str">
        <f>VLOOKUP(Call_Center_Data[[#This Row],[Emp ID]], Employee[], 4, FALSE)</f>
        <v>Timmy Mack</v>
      </c>
      <c r="L175" t="str">
        <f>VLOOKUP(Call_Center_Data[[#This Row],[Call Type ID]], Call_Type[], 2, FALSE)</f>
        <v>Sales</v>
      </c>
    </row>
    <row r="176" spans="1:12" x14ac:dyDescent="0.3">
      <c r="A176">
        <v>175</v>
      </c>
      <c r="B176">
        <v>3</v>
      </c>
      <c r="C176" s="1">
        <v>44769</v>
      </c>
      <c r="D176" s="2" t="s">
        <v>70</v>
      </c>
      <c r="E176">
        <v>0</v>
      </c>
      <c r="F176">
        <v>20</v>
      </c>
      <c r="G176">
        <v>153</v>
      </c>
      <c r="H176">
        <v>178</v>
      </c>
      <c r="I176" t="str">
        <f>VLOOKUP(Call_Center_Data[[#This Row],[Emp ID]],Employee[],2,FALSE)</f>
        <v>Jill Pat</v>
      </c>
      <c r="J176" t="str">
        <f>VLOOKUP(Call_Center_Data[[#This Row],[Emp ID]], Employee[], 3, FALSE)</f>
        <v>Aurora, CO</v>
      </c>
      <c r="K176" t="str">
        <f>VLOOKUP(Call_Center_Data[[#This Row],[Emp ID]], Employee[], 4, FALSE)</f>
        <v>Henry Rhodes</v>
      </c>
      <c r="L176" t="str">
        <f>VLOOKUP(Call_Center_Data[[#This Row],[Call Type ID]], Call_Type[], 2, FALSE)</f>
        <v>Tech Sup</v>
      </c>
    </row>
    <row r="177" spans="1:12" x14ac:dyDescent="0.3">
      <c r="A177">
        <v>176</v>
      </c>
      <c r="B177">
        <v>3</v>
      </c>
      <c r="C177" s="1">
        <v>44770</v>
      </c>
      <c r="D177" s="2" t="s">
        <v>87</v>
      </c>
      <c r="E177">
        <v>1</v>
      </c>
      <c r="F177">
        <v>25</v>
      </c>
      <c r="G177">
        <v>141</v>
      </c>
      <c r="H177">
        <v>158</v>
      </c>
      <c r="I177" t="str">
        <f>VLOOKUP(Call_Center_Data[[#This Row],[Emp ID]],Employee[],2,FALSE)</f>
        <v>Gina Saab</v>
      </c>
      <c r="J177" t="str">
        <f>VLOOKUP(Call_Center_Data[[#This Row],[Emp ID]], Employee[], 3, FALSE)</f>
        <v>Jacksonville, WA</v>
      </c>
      <c r="K177" t="str">
        <f>VLOOKUP(Call_Center_Data[[#This Row],[Emp ID]], Employee[], 4, FALSE)</f>
        <v>Jenny Gill</v>
      </c>
      <c r="L177" t="str">
        <f>VLOOKUP(Call_Center_Data[[#This Row],[Call Type ID]], Call_Type[], 2, FALSE)</f>
        <v>Tech Sup</v>
      </c>
    </row>
    <row r="178" spans="1:12" x14ac:dyDescent="0.3">
      <c r="A178">
        <v>177</v>
      </c>
      <c r="B178">
        <v>3</v>
      </c>
      <c r="C178" s="1">
        <v>44771</v>
      </c>
      <c r="D178" s="2" t="s">
        <v>78</v>
      </c>
      <c r="E178">
        <v>1</v>
      </c>
      <c r="F178">
        <v>21</v>
      </c>
      <c r="G178">
        <v>153</v>
      </c>
      <c r="H178">
        <v>223</v>
      </c>
      <c r="I178" t="str">
        <f>VLOOKUP(Call_Center_Data[[#This Row],[Emp ID]],Employee[],2,FALSE)</f>
        <v>Jill Saab</v>
      </c>
      <c r="J178" t="str">
        <f>VLOOKUP(Call_Center_Data[[#This Row],[Emp ID]], Employee[], 3, FALSE)</f>
        <v>Spokane, WA</v>
      </c>
      <c r="K178" t="str">
        <f>VLOOKUP(Call_Center_Data[[#This Row],[Emp ID]], Employee[], 4, FALSE)</f>
        <v>Timmy Gill</v>
      </c>
      <c r="L178" t="str">
        <f>VLOOKUP(Call_Center_Data[[#This Row],[Call Type ID]], Call_Type[], 2, FALSE)</f>
        <v>Tech Sup</v>
      </c>
    </row>
    <row r="179" spans="1:12" x14ac:dyDescent="0.3">
      <c r="A179">
        <v>178</v>
      </c>
      <c r="B179">
        <v>2</v>
      </c>
      <c r="C179" s="1">
        <v>44772</v>
      </c>
      <c r="D179" s="2" t="s">
        <v>83</v>
      </c>
      <c r="E179">
        <v>0</v>
      </c>
      <c r="F179">
        <v>22</v>
      </c>
      <c r="G179">
        <v>152</v>
      </c>
      <c r="H179">
        <v>165</v>
      </c>
      <c r="I179" t="str">
        <f>VLOOKUP(Call_Center_Data[[#This Row],[Emp ID]],Employee[],2,FALSE)</f>
        <v>Ultor Simons</v>
      </c>
      <c r="J179" t="str">
        <f>VLOOKUP(Call_Center_Data[[#This Row],[Emp ID]], Employee[], 3, FALSE)</f>
        <v>Jacksonville, WA</v>
      </c>
      <c r="K179" t="str">
        <f>VLOOKUP(Call_Center_Data[[#This Row],[Emp ID]], Employee[], 4, FALSE)</f>
        <v>Pierce Hall</v>
      </c>
      <c r="L179" t="str">
        <f>VLOOKUP(Call_Center_Data[[#This Row],[Call Type ID]], Call_Type[], 2, FALSE)</f>
        <v>Sales</v>
      </c>
    </row>
    <row r="180" spans="1:12" x14ac:dyDescent="0.3">
      <c r="A180">
        <v>179</v>
      </c>
      <c r="B180">
        <v>3</v>
      </c>
      <c r="C180" s="1">
        <v>44773</v>
      </c>
      <c r="D180" s="2" t="s">
        <v>75</v>
      </c>
      <c r="E180">
        <v>1</v>
      </c>
      <c r="F180">
        <v>17</v>
      </c>
      <c r="G180">
        <v>160</v>
      </c>
      <c r="H180">
        <v>183</v>
      </c>
      <c r="I180" t="str">
        <f>VLOOKUP(Call_Center_Data[[#This Row],[Emp ID]],Employee[],2,FALSE)</f>
        <v>Gina Pat</v>
      </c>
      <c r="J180" t="str">
        <f>VLOOKUP(Call_Center_Data[[#This Row],[Emp ID]], Employee[], 3, FALSE)</f>
        <v>Spokane, WA</v>
      </c>
      <c r="K180" t="str">
        <f>VLOOKUP(Call_Center_Data[[#This Row],[Emp ID]], Employee[], 4, FALSE)</f>
        <v>Henry Hall</v>
      </c>
      <c r="L180" t="str">
        <f>VLOOKUP(Call_Center_Data[[#This Row],[Call Type ID]], Call_Type[], 2, FALSE)</f>
        <v>Tech Sup</v>
      </c>
    </row>
    <row r="181" spans="1:12" x14ac:dyDescent="0.3">
      <c r="A181">
        <v>180</v>
      </c>
      <c r="B181">
        <v>1</v>
      </c>
      <c r="C181" s="1">
        <v>44774</v>
      </c>
      <c r="D181" s="2" t="s">
        <v>72</v>
      </c>
      <c r="E181">
        <v>0</v>
      </c>
      <c r="F181">
        <v>10</v>
      </c>
      <c r="G181">
        <v>134</v>
      </c>
      <c r="H181">
        <v>76</v>
      </c>
      <c r="I181" t="str">
        <f>VLOOKUP(Call_Center_Data[[#This Row],[Emp ID]],Employee[],2,FALSE)</f>
        <v>Ultor Pat</v>
      </c>
      <c r="J181" t="str">
        <f>VLOOKUP(Call_Center_Data[[#This Row],[Emp ID]], Employee[], 3, FALSE)</f>
        <v>Jacksonville, WA</v>
      </c>
      <c r="K181" t="str">
        <f>VLOOKUP(Call_Center_Data[[#This Row],[Emp ID]], Employee[], 4, FALSE)</f>
        <v>Jenny Hall</v>
      </c>
      <c r="L181" t="str">
        <f>VLOOKUP(Call_Center_Data[[#This Row],[Call Type ID]], Call_Type[], 2, FALSE)</f>
        <v>Billing</v>
      </c>
    </row>
    <row r="182" spans="1:12" x14ac:dyDescent="0.3">
      <c r="A182">
        <v>181</v>
      </c>
      <c r="B182">
        <v>2</v>
      </c>
      <c r="C182" s="1">
        <v>44775</v>
      </c>
      <c r="D182" s="2" t="s">
        <v>88</v>
      </c>
      <c r="E182">
        <v>1</v>
      </c>
      <c r="F182">
        <v>23</v>
      </c>
      <c r="G182">
        <v>157</v>
      </c>
      <c r="H182">
        <v>275</v>
      </c>
      <c r="I182" t="str">
        <f>VLOOKUP(Call_Center_Data[[#This Row],[Emp ID]],Employee[],2,FALSE)</f>
        <v>Gina Gilder</v>
      </c>
      <c r="J182" t="str">
        <f>VLOOKUP(Call_Center_Data[[#This Row],[Emp ID]], Employee[], 3, FALSE)</f>
        <v>Jacksonville, WA</v>
      </c>
      <c r="K182" t="str">
        <f>VLOOKUP(Call_Center_Data[[#This Row],[Emp ID]], Employee[], 4, FALSE)</f>
        <v>Pierce Rhodes</v>
      </c>
      <c r="L182" t="str">
        <f>VLOOKUP(Call_Center_Data[[#This Row],[Call Type ID]], Call_Type[], 2, FALSE)</f>
        <v>Sales</v>
      </c>
    </row>
    <row r="183" spans="1:12" x14ac:dyDescent="0.3">
      <c r="A183">
        <v>182</v>
      </c>
      <c r="B183">
        <v>1</v>
      </c>
      <c r="C183" s="1">
        <v>44776</v>
      </c>
      <c r="D183" s="2" t="s">
        <v>67</v>
      </c>
      <c r="E183">
        <v>1</v>
      </c>
      <c r="F183">
        <v>21</v>
      </c>
      <c r="G183">
        <v>143</v>
      </c>
      <c r="H183">
        <v>246</v>
      </c>
      <c r="I183" t="str">
        <f>VLOOKUP(Call_Center_Data[[#This Row],[Emp ID]],Employee[],2,FALSE)</f>
        <v>Tina Pat</v>
      </c>
      <c r="J183" t="str">
        <f>VLOOKUP(Call_Center_Data[[#This Row],[Emp ID]], Employee[], 3, FALSE)</f>
        <v>Jacksonville, WA</v>
      </c>
      <c r="K183" t="str">
        <f>VLOOKUP(Call_Center_Data[[#This Row],[Emp ID]], Employee[], 4, FALSE)</f>
        <v>John Hall</v>
      </c>
      <c r="L183" t="str">
        <f>VLOOKUP(Call_Center_Data[[#This Row],[Call Type ID]], Call_Type[], 2, FALSE)</f>
        <v>Billing</v>
      </c>
    </row>
    <row r="184" spans="1:12" x14ac:dyDescent="0.3">
      <c r="A184">
        <v>183</v>
      </c>
      <c r="B184">
        <v>2</v>
      </c>
      <c r="C184" s="1">
        <v>44777</v>
      </c>
      <c r="D184" s="2" t="s">
        <v>81</v>
      </c>
      <c r="E184">
        <v>1</v>
      </c>
      <c r="F184">
        <v>21</v>
      </c>
      <c r="G184">
        <v>152</v>
      </c>
      <c r="H184">
        <v>113</v>
      </c>
      <c r="I184" t="str">
        <f>VLOOKUP(Call_Center_Data[[#This Row],[Emp ID]],Employee[],2,FALSE)</f>
        <v>Sam Simons</v>
      </c>
      <c r="J184" t="str">
        <f>VLOOKUP(Call_Center_Data[[#This Row],[Emp ID]], Employee[], 3, FALSE)</f>
        <v>Jacksonville, WA</v>
      </c>
      <c r="K184" t="str">
        <f>VLOOKUP(Call_Center_Data[[#This Row],[Emp ID]], Employee[], 4, FALSE)</f>
        <v>John Baas</v>
      </c>
      <c r="L184" t="str">
        <f>VLOOKUP(Call_Center_Data[[#This Row],[Call Type ID]], Call_Type[], 2, FALSE)</f>
        <v>Sales</v>
      </c>
    </row>
    <row r="185" spans="1:12" x14ac:dyDescent="0.3">
      <c r="A185">
        <v>184</v>
      </c>
      <c r="B185">
        <v>1</v>
      </c>
      <c r="C185" s="1">
        <v>44778</v>
      </c>
      <c r="D185" s="2" t="s">
        <v>70</v>
      </c>
      <c r="E185">
        <v>1</v>
      </c>
      <c r="F185">
        <v>24</v>
      </c>
      <c r="G185">
        <v>146</v>
      </c>
      <c r="H185">
        <v>166</v>
      </c>
      <c r="I185" t="str">
        <f>VLOOKUP(Call_Center_Data[[#This Row],[Emp ID]],Employee[],2,FALSE)</f>
        <v>Jill Pat</v>
      </c>
      <c r="J185" t="str">
        <f>VLOOKUP(Call_Center_Data[[#This Row],[Emp ID]], Employee[], 3, FALSE)</f>
        <v>Aurora, CO</v>
      </c>
      <c r="K185" t="str">
        <f>VLOOKUP(Call_Center_Data[[#This Row],[Emp ID]], Employee[], 4, FALSE)</f>
        <v>Henry Rhodes</v>
      </c>
      <c r="L185" t="str">
        <f>VLOOKUP(Call_Center_Data[[#This Row],[Call Type ID]], Call_Type[], 2, FALSE)</f>
        <v>Billing</v>
      </c>
    </row>
    <row r="186" spans="1:12" x14ac:dyDescent="0.3">
      <c r="A186">
        <v>185</v>
      </c>
      <c r="B186">
        <v>1</v>
      </c>
      <c r="C186" s="1">
        <v>44779</v>
      </c>
      <c r="D186" s="2" t="s">
        <v>73</v>
      </c>
      <c r="E186">
        <v>0</v>
      </c>
      <c r="F186">
        <v>16</v>
      </c>
      <c r="G186">
        <v>57</v>
      </c>
      <c r="H186">
        <v>525</v>
      </c>
      <c r="I186" t="str">
        <f>VLOOKUP(Call_Center_Data[[#This Row],[Emp ID]],Employee[],2,FALSE)</f>
        <v>Jill John</v>
      </c>
      <c r="J186" t="str">
        <f>VLOOKUP(Call_Center_Data[[#This Row],[Emp ID]], Employee[], 3, FALSE)</f>
        <v>Spokane, WA</v>
      </c>
      <c r="K186" t="str">
        <f>VLOOKUP(Call_Center_Data[[#This Row],[Emp ID]], Employee[], 4, FALSE)</f>
        <v>John Gill</v>
      </c>
      <c r="L186" t="str">
        <f>VLOOKUP(Call_Center_Data[[#This Row],[Call Type ID]], Call_Type[], 2, FALSE)</f>
        <v>Billing</v>
      </c>
    </row>
    <row r="187" spans="1:12" x14ac:dyDescent="0.3">
      <c r="A187">
        <v>186</v>
      </c>
      <c r="B187">
        <v>2</v>
      </c>
      <c r="C187" s="1">
        <v>44780</v>
      </c>
      <c r="D187" s="2" t="s">
        <v>67</v>
      </c>
      <c r="E187">
        <v>1</v>
      </c>
      <c r="F187">
        <v>19</v>
      </c>
      <c r="G187">
        <v>81</v>
      </c>
      <c r="H187">
        <v>234</v>
      </c>
      <c r="I187" t="str">
        <f>VLOOKUP(Call_Center_Data[[#This Row],[Emp ID]],Employee[],2,FALSE)</f>
        <v>Tina Pat</v>
      </c>
      <c r="J187" t="str">
        <f>VLOOKUP(Call_Center_Data[[#This Row],[Emp ID]], Employee[], 3, FALSE)</f>
        <v>Jacksonville, WA</v>
      </c>
      <c r="K187" t="str">
        <f>VLOOKUP(Call_Center_Data[[#This Row],[Emp ID]], Employee[], 4, FALSE)</f>
        <v>John Hall</v>
      </c>
      <c r="L187" t="str">
        <f>VLOOKUP(Call_Center_Data[[#This Row],[Call Type ID]], Call_Type[], 2, FALSE)</f>
        <v>Sales</v>
      </c>
    </row>
    <row r="188" spans="1:12" x14ac:dyDescent="0.3">
      <c r="A188">
        <v>187</v>
      </c>
      <c r="B188">
        <v>3</v>
      </c>
      <c r="C188" s="1">
        <v>44781</v>
      </c>
      <c r="D188" s="2" t="s">
        <v>64</v>
      </c>
      <c r="E188">
        <v>1</v>
      </c>
      <c r="F188">
        <v>25</v>
      </c>
      <c r="G188">
        <v>156</v>
      </c>
      <c r="H188">
        <v>78</v>
      </c>
      <c r="I188" t="str">
        <f>VLOOKUP(Call_Center_Data[[#This Row],[Emp ID]],Employee[],2,FALSE)</f>
        <v>Jill Simons</v>
      </c>
      <c r="J188" t="str">
        <f>VLOOKUP(Call_Center_Data[[#This Row],[Emp ID]], Employee[], 3, FALSE)</f>
        <v>Spokane, WA</v>
      </c>
      <c r="K188" t="str">
        <f>VLOOKUP(Call_Center_Data[[#This Row],[Emp ID]], Employee[], 4, FALSE)</f>
        <v>Jenny Rhodes</v>
      </c>
      <c r="L188" t="str">
        <f>VLOOKUP(Call_Center_Data[[#This Row],[Call Type ID]], Call_Type[], 2, FALSE)</f>
        <v>Tech Sup</v>
      </c>
    </row>
    <row r="189" spans="1:12" x14ac:dyDescent="0.3">
      <c r="A189">
        <v>188</v>
      </c>
      <c r="B189">
        <v>2</v>
      </c>
      <c r="C189" s="1">
        <v>44782</v>
      </c>
      <c r="D189" s="2" t="s">
        <v>88</v>
      </c>
      <c r="E189">
        <v>0</v>
      </c>
      <c r="F189">
        <v>22</v>
      </c>
      <c r="G189">
        <v>133</v>
      </c>
      <c r="H189">
        <v>132</v>
      </c>
      <c r="I189" t="str">
        <f>VLOOKUP(Call_Center_Data[[#This Row],[Emp ID]],Employee[],2,FALSE)</f>
        <v>Gina Gilder</v>
      </c>
      <c r="J189" t="str">
        <f>VLOOKUP(Call_Center_Data[[#This Row],[Emp ID]], Employee[], 3, FALSE)</f>
        <v>Jacksonville, WA</v>
      </c>
      <c r="K189" t="str">
        <f>VLOOKUP(Call_Center_Data[[#This Row],[Emp ID]], Employee[], 4, FALSE)</f>
        <v>Pierce Rhodes</v>
      </c>
      <c r="L189" t="str">
        <f>VLOOKUP(Call_Center_Data[[#This Row],[Call Type ID]], Call_Type[], 2, FALSE)</f>
        <v>Sales</v>
      </c>
    </row>
    <row r="190" spans="1:12" x14ac:dyDescent="0.3">
      <c r="A190">
        <v>189</v>
      </c>
      <c r="B190">
        <v>3</v>
      </c>
      <c r="C190" s="1">
        <v>44783</v>
      </c>
      <c r="D190" s="2" t="s">
        <v>82</v>
      </c>
      <c r="E190">
        <v>0</v>
      </c>
      <c r="F190">
        <v>24</v>
      </c>
      <c r="G190">
        <v>154</v>
      </c>
      <c r="H190">
        <v>180</v>
      </c>
      <c r="I190" t="str">
        <f>VLOOKUP(Call_Center_Data[[#This Row],[Emp ID]],Employee[],2,FALSE)</f>
        <v>Ultor Gilder</v>
      </c>
      <c r="J190" t="str">
        <f>VLOOKUP(Call_Center_Data[[#This Row],[Emp ID]], Employee[], 3, FALSE)</f>
        <v>Aurora, CO</v>
      </c>
      <c r="K190" t="str">
        <f>VLOOKUP(Call_Center_Data[[#This Row],[Emp ID]], Employee[], 4, FALSE)</f>
        <v>Pierce Mack</v>
      </c>
      <c r="L190" t="str">
        <f>VLOOKUP(Call_Center_Data[[#This Row],[Call Type ID]], Call_Type[], 2, FALSE)</f>
        <v>Tech Sup</v>
      </c>
    </row>
    <row r="191" spans="1:12" x14ac:dyDescent="0.3">
      <c r="A191">
        <v>190</v>
      </c>
      <c r="B191">
        <v>2</v>
      </c>
      <c r="C191" s="1">
        <v>44784</v>
      </c>
      <c r="D191" s="2" t="s">
        <v>79</v>
      </c>
      <c r="E191">
        <v>0</v>
      </c>
      <c r="F191">
        <v>10</v>
      </c>
      <c r="G191">
        <v>131</v>
      </c>
      <c r="H191">
        <v>93</v>
      </c>
      <c r="I191" t="str">
        <f>VLOOKUP(Call_Center_Data[[#This Row],[Emp ID]],Employee[],2,FALSE)</f>
        <v>Gina Simons</v>
      </c>
      <c r="J191" t="str">
        <f>VLOOKUP(Call_Center_Data[[#This Row],[Emp ID]], Employee[], 3, FALSE)</f>
        <v>Spokane, WA</v>
      </c>
      <c r="K191" t="str">
        <f>VLOOKUP(Call_Center_Data[[#This Row],[Emp ID]], Employee[], 4, FALSE)</f>
        <v>John Rhodes</v>
      </c>
      <c r="L191" t="str">
        <f>VLOOKUP(Call_Center_Data[[#This Row],[Call Type ID]], Call_Type[], 2, FALSE)</f>
        <v>Sales</v>
      </c>
    </row>
    <row r="192" spans="1:12" x14ac:dyDescent="0.3">
      <c r="A192">
        <v>191</v>
      </c>
      <c r="B192">
        <v>2</v>
      </c>
      <c r="C192" s="1">
        <v>44785</v>
      </c>
      <c r="D192" s="2" t="s">
        <v>70</v>
      </c>
      <c r="E192">
        <v>1</v>
      </c>
      <c r="F192">
        <v>21</v>
      </c>
      <c r="G192">
        <v>150</v>
      </c>
      <c r="H192">
        <v>168</v>
      </c>
      <c r="I192" t="str">
        <f>VLOOKUP(Call_Center_Data[[#This Row],[Emp ID]],Employee[],2,FALSE)</f>
        <v>Jill Pat</v>
      </c>
      <c r="J192" t="str">
        <f>VLOOKUP(Call_Center_Data[[#This Row],[Emp ID]], Employee[], 3, FALSE)</f>
        <v>Aurora, CO</v>
      </c>
      <c r="K192" t="str">
        <f>VLOOKUP(Call_Center_Data[[#This Row],[Emp ID]], Employee[], 4, FALSE)</f>
        <v>Henry Rhodes</v>
      </c>
      <c r="L192" t="str">
        <f>VLOOKUP(Call_Center_Data[[#This Row],[Call Type ID]], Call_Type[], 2, FALSE)</f>
        <v>Sales</v>
      </c>
    </row>
    <row r="193" spans="1:12" x14ac:dyDescent="0.3">
      <c r="A193">
        <v>192</v>
      </c>
      <c r="B193">
        <v>3</v>
      </c>
      <c r="C193" s="1">
        <v>44786</v>
      </c>
      <c r="D193" s="2" t="s">
        <v>85</v>
      </c>
      <c r="E193">
        <v>1</v>
      </c>
      <c r="F193">
        <v>21</v>
      </c>
      <c r="G193">
        <v>149</v>
      </c>
      <c r="H193">
        <v>165</v>
      </c>
      <c r="I193" t="str">
        <f>VLOOKUP(Call_Center_Data[[#This Row],[Emp ID]],Employee[],2,FALSE)</f>
        <v>Tina Gilder</v>
      </c>
      <c r="J193" t="str">
        <f>VLOOKUP(Call_Center_Data[[#This Row],[Emp ID]], Employee[], 3, FALSE)</f>
        <v>Spokane, WA</v>
      </c>
      <c r="K193" t="str">
        <f>VLOOKUP(Call_Center_Data[[#This Row],[Emp ID]], Employee[], 4, FALSE)</f>
        <v>Timmy Baas</v>
      </c>
      <c r="L193" t="str">
        <f>VLOOKUP(Call_Center_Data[[#This Row],[Call Type ID]], Call_Type[], 2, FALSE)</f>
        <v>Tech Sup</v>
      </c>
    </row>
    <row r="194" spans="1:12" x14ac:dyDescent="0.3">
      <c r="A194">
        <v>193</v>
      </c>
      <c r="B194">
        <v>2</v>
      </c>
      <c r="C194" s="1">
        <v>44787</v>
      </c>
      <c r="D194" s="2" t="s">
        <v>82</v>
      </c>
      <c r="E194">
        <v>1</v>
      </c>
      <c r="F194">
        <v>23</v>
      </c>
      <c r="G194">
        <v>138</v>
      </c>
      <c r="H194">
        <v>146</v>
      </c>
      <c r="I194" t="str">
        <f>VLOOKUP(Call_Center_Data[[#This Row],[Emp ID]],Employee[],2,FALSE)</f>
        <v>Ultor Gilder</v>
      </c>
      <c r="J194" t="str">
        <f>VLOOKUP(Call_Center_Data[[#This Row],[Emp ID]], Employee[], 3, FALSE)</f>
        <v>Aurora, CO</v>
      </c>
      <c r="K194" t="str">
        <f>VLOOKUP(Call_Center_Data[[#This Row],[Emp ID]], Employee[], 4, FALSE)</f>
        <v>Pierce Mack</v>
      </c>
      <c r="L194" t="str">
        <f>VLOOKUP(Call_Center_Data[[#This Row],[Call Type ID]], Call_Type[], 2, FALSE)</f>
        <v>Sales</v>
      </c>
    </row>
    <row r="195" spans="1:12" x14ac:dyDescent="0.3">
      <c r="A195">
        <v>194</v>
      </c>
      <c r="B195">
        <v>1</v>
      </c>
      <c r="C195" s="1">
        <v>44788</v>
      </c>
      <c r="D195" s="2" t="s">
        <v>85</v>
      </c>
      <c r="E195">
        <v>0</v>
      </c>
      <c r="F195">
        <v>25</v>
      </c>
      <c r="G195">
        <v>217</v>
      </c>
      <c r="H195">
        <v>88</v>
      </c>
      <c r="I195" t="str">
        <f>VLOOKUP(Call_Center_Data[[#This Row],[Emp ID]],Employee[],2,FALSE)</f>
        <v>Tina Gilder</v>
      </c>
      <c r="J195" t="str">
        <f>VLOOKUP(Call_Center_Data[[#This Row],[Emp ID]], Employee[], 3, FALSE)</f>
        <v>Spokane, WA</v>
      </c>
      <c r="K195" t="str">
        <f>VLOOKUP(Call_Center_Data[[#This Row],[Emp ID]], Employee[], 4, FALSE)</f>
        <v>Timmy Baas</v>
      </c>
      <c r="L195" t="str">
        <f>VLOOKUP(Call_Center_Data[[#This Row],[Call Type ID]], Call_Type[], 2, FALSE)</f>
        <v>Billing</v>
      </c>
    </row>
    <row r="196" spans="1:12" x14ac:dyDescent="0.3">
      <c r="A196">
        <v>195</v>
      </c>
      <c r="B196">
        <v>2</v>
      </c>
      <c r="C196" s="1">
        <v>44789</v>
      </c>
      <c r="D196" s="2" t="s">
        <v>81</v>
      </c>
      <c r="E196">
        <v>1</v>
      </c>
      <c r="F196">
        <v>20</v>
      </c>
      <c r="G196">
        <v>116</v>
      </c>
      <c r="H196">
        <v>251</v>
      </c>
      <c r="I196" t="str">
        <f>VLOOKUP(Call_Center_Data[[#This Row],[Emp ID]],Employee[],2,FALSE)</f>
        <v>Sam Simons</v>
      </c>
      <c r="J196" t="str">
        <f>VLOOKUP(Call_Center_Data[[#This Row],[Emp ID]], Employee[], 3, FALSE)</f>
        <v>Jacksonville, WA</v>
      </c>
      <c r="K196" t="str">
        <f>VLOOKUP(Call_Center_Data[[#This Row],[Emp ID]], Employee[], 4, FALSE)</f>
        <v>John Baas</v>
      </c>
      <c r="L196" t="str">
        <f>VLOOKUP(Call_Center_Data[[#This Row],[Call Type ID]], Call_Type[], 2, FALSE)</f>
        <v>Sales</v>
      </c>
    </row>
    <row r="197" spans="1:12" x14ac:dyDescent="0.3">
      <c r="A197">
        <v>196</v>
      </c>
      <c r="B197">
        <v>3</v>
      </c>
      <c r="C197" s="1">
        <v>44790</v>
      </c>
      <c r="D197" s="2" t="s">
        <v>65</v>
      </c>
      <c r="E197">
        <v>0</v>
      </c>
      <c r="F197">
        <v>18</v>
      </c>
      <c r="G197">
        <v>129</v>
      </c>
      <c r="H197">
        <v>113</v>
      </c>
      <c r="I197" t="str">
        <f>VLOOKUP(Call_Center_Data[[#This Row],[Emp ID]],Employee[],2,FALSE)</f>
        <v>Ultor John</v>
      </c>
      <c r="J197" t="str">
        <f>VLOOKUP(Call_Center_Data[[#This Row],[Emp ID]], Employee[], 3, FALSE)</f>
        <v>Spokane, WA</v>
      </c>
      <c r="K197" t="str">
        <f>VLOOKUP(Call_Center_Data[[#This Row],[Emp ID]], Employee[], 4, FALSE)</f>
        <v>John Mack</v>
      </c>
      <c r="L197" t="str">
        <f>VLOOKUP(Call_Center_Data[[#This Row],[Call Type ID]], Call_Type[], 2, FALSE)</f>
        <v>Tech Sup</v>
      </c>
    </row>
    <row r="198" spans="1:12" x14ac:dyDescent="0.3">
      <c r="A198">
        <v>197</v>
      </c>
      <c r="B198">
        <v>1</v>
      </c>
      <c r="C198" s="1">
        <v>44791</v>
      </c>
      <c r="D198" s="2" t="s">
        <v>64</v>
      </c>
      <c r="E198">
        <v>1</v>
      </c>
      <c r="F198">
        <v>18</v>
      </c>
      <c r="G198">
        <v>144</v>
      </c>
      <c r="H198">
        <v>101</v>
      </c>
      <c r="I198" t="str">
        <f>VLOOKUP(Call_Center_Data[[#This Row],[Emp ID]],Employee[],2,FALSE)</f>
        <v>Jill Simons</v>
      </c>
      <c r="J198" t="str">
        <f>VLOOKUP(Call_Center_Data[[#This Row],[Emp ID]], Employee[], 3, FALSE)</f>
        <v>Spokane, WA</v>
      </c>
      <c r="K198" t="str">
        <f>VLOOKUP(Call_Center_Data[[#This Row],[Emp ID]], Employee[], 4, FALSE)</f>
        <v>Jenny Rhodes</v>
      </c>
      <c r="L198" t="str">
        <f>VLOOKUP(Call_Center_Data[[#This Row],[Call Type ID]], Call_Type[], 2, FALSE)</f>
        <v>Billing</v>
      </c>
    </row>
    <row r="199" spans="1:12" x14ac:dyDescent="0.3">
      <c r="A199">
        <v>198</v>
      </c>
      <c r="B199">
        <v>1</v>
      </c>
      <c r="C199" s="1">
        <v>44792</v>
      </c>
      <c r="D199" s="2" t="s">
        <v>70</v>
      </c>
      <c r="E199">
        <v>0</v>
      </c>
      <c r="F199">
        <v>23</v>
      </c>
      <c r="G199">
        <v>148</v>
      </c>
      <c r="H199">
        <v>170</v>
      </c>
      <c r="I199" t="str">
        <f>VLOOKUP(Call_Center_Data[[#This Row],[Emp ID]],Employee[],2,FALSE)</f>
        <v>Jill Pat</v>
      </c>
      <c r="J199" t="str">
        <f>VLOOKUP(Call_Center_Data[[#This Row],[Emp ID]], Employee[], 3, FALSE)</f>
        <v>Aurora, CO</v>
      </c>
      <c r="K199" t="str">
        <f>VLOOKUP(Call_Center_Data[[#This Row],[Emp ID]], Employee[], 4, FALSE)</f>
        <v>Henry Rhodes</v>
      </c>
      <c r="L199" t="str">
        <f>VLOOKUP(Call_Center_Data[[#This Row],[Call Type ID]], Call_Type[], 2, FALSE)</f>
        <v>Billing</v>
      </c>
    </row>
    <row r="200" spans="1:12" x14ac:dyDescent="0.3">
      <c r="A200">
        <v>199</v>
      </c>
      <c r="B200">
        <v>3</v>
      </c>
      <c r="C200" s="1">
        <v>44793</v>
      </c>
      <c r="D200" s="2" t="s">
        <v>67</v>
      </c>
      <c r="E200">
        <v>0</v>
      </c>
      <c r="F200">
        <v>23</v>
      </c>
      <c r="G200">
        <v>131</v>
      </c>
      <c r="H200">
        <v>144</v>
      </c>
      <c r="I200" t="str">
        <f>VLOOKUP(Call_Center_Data[[#This Row],[Emp ID]],Employee[],2,FALSE)</f>
        <v>Tina Pat</v>
      </c>
      <c r="J200" t="str">
        <f>VLOOKUP(Call_Center_Data[[#This Row],[Emp ID]], Employee[], 3, FALSE)</f>
        <v>Jacksonville, WA</v>
      </c>
      <c r="K200" t="str">
        <f>VLOOKUP(Call_Center_Data[[#This Row],[Emp ID]], Employee[], 4, FALSE)</f>
        <v>John Hall</v>
      </c>
      <c r="L200" t="str">
        <f>VLOOKUP(Call_Center_Data[[#This Row],[Call Type ID]], Call_Type[], 2, FALSE)</f>
        <v>Tech Sup</v>
      </c>
    </row>
    <row r="201" spans="1:12" x14ac:dyDescent="0.3">
      <c r="A201">
        <v>200</v>
      </c>
      <c r="B201">
        <v>3</v>
      </c>
      <c r="C201" s="1">
        <v>44794</v>
      </c>
      <c r="D201" s="2" t="s">
        <v>82</v>
      </c>
      <c r="E201">
        <v>1</v>
      </c>
      <c r="F201">
        <v>23</v>
      </c>
      <c r="G201">
        <v>137</v>
      </c>
      <c r="H201">
        <v>275</v>
      </c>
      <c r="I201" t="str">
        <f>VLOOKUP(Call_Center_Data[[#This Row],[Emp ID]],Employee[],2,FALSE)</f>
        <v>Ultor Gilder</v>
      </c>
      <c r="J201" t="str">
        <f>VLOOKUP(Call_Center_Data[[#This Row],[Emp ID]], Employee[], 3, FALSE)</f>
        <v>Aurora, CO</v>
      </c>
      <c r="K201" t="str">
        <f>VLOOKUP(Call_Center_Data[[#This Row],[Emp ID]], Employee[], 4, FALSE)</f>
        <v>Pierce Mack</v>
      </c>
      <c r="L201" t="str">
        <f>VLOOKUP(Call_Center_Data[[#This Row],[Call Type ID]], Call_Type[], 2, FALSE)</f>
        <v>Tech Sup</v>
      </c>
    </row>
    <row r="202" spans="1:12" x14ac:dyDescent="0.3">
      <c r="A202">
        <v>201</v>
      </c>
      <c r="B202">
        <v>2</v>
      </c>
      <c r="C202" s="1">
        <v>44795</v>
      </c>
      <c r="D202" s="2" t="s">
        <v>76</v>
      </c>
      <c r="E202">
        <v>0</v>
      </c>
      <c r="F202">
        <v>25</v>
      </c>
      <c r="G202">
        <v>144</v>
      </c>
      <c r="H202">
        <v>95</v>
      </c>
      <c r="I202" t="str">
        <f>VLOOKUP(Call_Center_Data[[#This Row],[Emp ID]],Employee[],2,FALSE)</f>
        <v>Ultor Saab</v>
      </c>
      <c r="J202" t="str">
        <f>VLOOKUP(Call_Center_Data[[#This Row],[Emp ID]], Employee[], 3, FALSE)</f>
        <v>Aurora, CO</v>
      </c>
      <c r="K202" t="str">
        <f>VLOOKUP(Call_Center_Data[[#This Row],[Emp ID]], Employee[], 4, FALSE)</f>
        <v>Pierce Baas</v>
      </c>
      <c r="L202" t="str">
        <f>VLOOKUP(Call_Center_Data[[#This Row],[Call Type ID]], Call_Type[], 2, FALSE)</f>
        <v>Sales</v>
      </c>
    </row>
    <row r="203" spans="1:12" x14ac:dyDescent="0.3">
      <c r="A203">
        <v>202</v>
      </c>
      <c r="B203">
        <v>3</v>
      </c>
      <c r="C203" s="1">
        <v>44796</v>
      </c>
      <c r="D203" s="2" t="s">
        <v>66</v>
      </c>
      <c r="E203">
        <v>1</v>
      </c>
      <c r="F203">
        <v>18</v>
      </c>
      <c r="G203">
        <v>150</v>
      </c>
      <c r="H203">
        <v>67</v>
      </c>
      <c r="I203" t="str">
        <f>VLOOKUP(Call_Center_Data[[#This Row],[Emp ID]],Employee[],2,FALSE)</f>
        <v>Tina John</v>
      </c>
      <c r="J203" t="str">
        <f>VLOOKUP(Call_Center_Data[[#This Row],[Emp ID]], Employee[], 3, FALSE)</f>
        <v>Aurora, CO</v>
      </c>
      <c r="K203" t="str">
        <f>VLOOKUP(Call_Center_Data[[#This Row],[Emp ID]], Employee[], 4, FALSE)</f>
        <v>Timmy Rhodes</v>
      </c>
      <c r="L203" t="str">
        <f>VLOOKUP(Call_Center_Data[[#This Row],[Call Type ID]], Call_Type[], 2, FALSE)</f>
        <v>Tech Sup</v>
      </c>
    </row>
    <row r="204" spans="1:12" x14ac:dyDescent="0.3">
      <c r="A204">
        <v>203</v>
      </c>
      <c r="B204">
        <v>1</v>
      </c>
      <c r="C204" s="1">
        <v>44797</v>
      </c>
      <c r="D204" s="2" t="s">
        <v>85</v>
      </c>
      <c r="E204">
        <v>1</v>
      </c>
      <c r="F204">
        <v>21</v>
      </c>
      <c r="G204">
        <v>145</v>
      </c>
      <c r="H204">
        <v>110</v>
      </c>
      <c r="I204" t="str">
        <f>VLOOKUP(Call_Center_Data[[#This Row],[Emp ID]],Employee[],2,FALSE)</f>
        <v>Tina Gilder</v>
      </c>
      <c r="J204" t="str">
        <f>VLOOKUP(Call_Center_Data[[#This Row],[Emp ID]], Employee[], 3, FALSE)</f>
        <v>Spokane, WA</v>
      </c>
      <c r="K204" t="str">
        <f>VLOOKUP(Call_Center_Data[[#This Row],[Emp ID]], Employee[], 4, FALSE)</f>
        <v>Timmy Baas</v>
      </c>
      <c r="L204" t="str">
        <f>VLOOKUP(Call_Center_Data[[#This Row],[Call Type ID]], Call_Type[], 2, FALSE)</f>
        <v>Billing</v>
      </c>
    </row>
    <row r="205" spans="1:12" x14ac:dyDescent="0.3">
      <c r="A205">
        <v>204</v>
      </c>
      <c r="B205">
        <v>1</v>
      </c>
      <c r="C205" s="1">
        <v>44798</v>
      </c>
      <c r="D205" s="2" t="s">
        <v>68</v>
      </c>
      <c r="E205">
        <v>1</v>
      </c>
      <c r="F205">
        <v>22</v>
      </c>
      <c r="G205">
        <v>135</v>
      </c>
      <c r="H205">
        <v>200</v>
      </c>
      <c r="I205" t="str">
        <f>VLOOKUP(Call_Center_Data[[#This Row],[Emp ID]],Employee[],2,FALSE)</f>
        <v>Tina Saab</v>
      </c>
      <c r="J205" t="str">
        <f>VLOOKUP(Call_Center_Data[[#This Row],[Emp ID]], Employee[], 3, FALSE)</f>
        <v>Spokane, WA</v>
      </c>
      <c r="K205" t="str">
        <f>VLOOKUP(Call_Center_Data[[#This Row],[Emp ID]], Employee[], 4, FALSE)</f>
        <v>Henry Baas</v>
      </c>
      <c r="L205" t="str">
        <f>VLOOKUP(Call_Center_Data[[#This Row],[Call Type ID]], Call_Type[], 2, FALSE)</f>
        <v>Billing</v>
      </c>
    </row>
    <row r="206" spans="1:12" x14ac:dyDescent="0.3">
      <c r="A206">
        <v>205</v>
      </c>
      <c r="B206">
        <v>3</v>
      </c>
      <c r="C206" s="1">
        <v>44799</v>
      </c>
      <c r="D206" s="2" t="s">
        <v>64</v>
      </c>
      <c r="E206">
        <v>0</v>
      </c>
      <c r="F206">
        <v>18</v>
      </c>
      <c r="G206">
        <v>137</v>
      </c>
      <c r="H206">
        <v>110</v>
      </c>
      <c r="I206" t="str">
        <f>VLOOKUP(Call_Center_Data[[#This Row],[Emp ID]],Employee[],2,FALSE)</f>
        <v>Jill Simons</v>
      </c>
      <c r="J206" t="str">
        <f>VLOOKUP(Call_Center_Data[[#This Row],[Emp ID]], Employee[], 3, FALSE)</f>
        <v>Spokane, WA</v>
      </c>
      <c r="K206" t="str">
        <f>VLOOKUP(Call_Center_Data[[#This Row],[Emp ID]], Employee[], 4, FALSE)</f>
        <v>Jenny Rhodes</v>
      </c>
      <c r="L206" t="str">
        <f>VLOOKUP(Call_Center_Data[[#This Row],[Call Type ID]], Call_Type[], 2, FALSE)</f>
        <v>Tech Sup</v>
      </c>
    </row>
    <row r="207" spans="1:12" x14ac:dyDescent="0.3">
      <c r="A207">
        <v>206</v>
      </c>
      <c r="B207">
        <v>2</v>
      </c>
      <c r="C207" s="1">
        <v>44800</v>
      </c>
      <c r="D207" s="2" t="s">
        <v>84</v>
      </c>
      <c r="E207">
        <v>0</v>
      </c>
      <c r="F207">
        <v>21</v>
      </c>
      <c r="G207">
        <v>135</v>
      </c>
      <c r="H207">
        <v>236</v>
      </c>
      <c r="I207" t="str">
        <f>VLOOKUP(Call_Center_Data[[#This Row],[Emp ID]],Employee[],2,FALSE)</f>
        <v>Sam John</v>
      </c>
      <c r="J207" t="str">
        <f>VLOOKUP(Call_Center_Data[[#This Row],[Emp ID]], Employee[], 3, FALSE)</f>
        <v>Aurora, CO</v>
      </c>
      <c r="K207" t="str">
        <f>VLOOKUP(Call_Center_Data[[#This Row],[Emp ID]], Employee[], 4, FALSE)</f>
        <v>Jenny Mack</v>
      </c>
      <c r="L207" t="str">
        <f>VLOOKUP(Call_Center_Data[[#This Row],[Call Type ID]], Call_Type[], 2, FALSE)</f>
        <v>Sales</v>
      </c>
    </row>
    <row r="208" spans="1:12" x14ac:dyDescent="0.3">
      <c r="A208">
        <v>207</v>
      </c>
      <c r="B208">
        <v>3</v>
      </c>
      <c r="C208" s="1">
        <v>44801</v>
      </c>
      <c r="D208" s="2" t="s">
        <v>76</v>
      </c>
      <c r="E208">
        <v>0</v>
      </c>
      <c r="F208">
        <v>16</v>
      </c>
      <c r="G208">
        <v>145</v>
      </c>
      <c r="H208">
        <v>62</v>
      </c>
      <c r="I208" t="str">
        <f>VLOOKUP(Call_Center_Data[[#This Row],[Emp ID]],Employee[],2,FALSE)</f>
        <v>Ultor Saab</v>
      </c>
      <c r="J208" t="str">
        <f>VLOOKUP(Call_Center_Data[[#This Row],[Emp ID]], Employee[], 3, FALSE)</f>
        <v>Aurora, CO</v>
      </c>
      <c r="K208" t="str">
        <f>VLOOKUP(Call_Center_Data[[#This Row],[Emp ID]], Employee[], 4, FALSE)</f>
        <v>Pierce Baas</v>
      </c>
      <c r="L208" t="str">
        <f>VLOOKUP(Call_Center_Data[[#This Row],[Call Type ID]], Call_Type[], 2, FALSE)</f>
        <v>Tech Sup</v>
      </c>
    </row>
    <row r="209" spans="1:12" x14ac:dyDescent="0.3">
      <c r="A209">
        <v>208</v>
      </c>
      <c r="B209">
        <v>1</v>
      </c>
      <c r="C209" s="1">
        <v>44802</v>
      </c>
      <c r="D209" s="2" t="s">
        <v>76</v>
      </c>
      <c r="E209">
        <v>0</v>
      </c>
      <c r="F209">
        <v>19</v>
      </c>
      <c r="G209">
        <v>167</v>
      </c>
      <c r="H209">
        <v>142</v>
      </c>
      <c r="I209" t="str">
        <f>VLOOKUP(Call_Center_Data[[#This Row],[Emp ID]],Employee[],2,FALSE)</f>
        <v>Ultor Saab</v>
      </c>
      <c r="J209" t="str">
        <f>VLOOKUP(Call_Center_Data[[#This Row],[Emp ID]], Employee[], 3, FALSE)</f>
        <v>Aurora, CO</v>
      </c>
      <c r="K209" t="str">
        <f>VLOOKUP(Call_Center_Data[[#This Row],[Emp ID]], Employee[], 4, FALSE)</f>
        <v>Pierce Baas</v>
      </c>
      <c r="L209" t="str">
        <f>VLOOKUP(Call_Center_Data[[#This Row],[Call Type ID]], Call_Type[], 2, FALSE)</f>
        <v>Billing</v>
      </c>
    </row>
    <row r="210" spans="1:12" x14ac:dyDescent="0.3">
      <c r="A210">
        <v>209</v>
      </c>
      <c r="B210">
        <v>2</v>
      </c>
      <c r="C210" s="1">
        <v>44803</v>
      </c>
      <c r="D210" s="2" t="s">
        <v>65</v>
      </c>
      <c r="E210">
        <v>1</v>
      </c>
      <c r="F210">
        <v>23</v>
      </c>
      <c r="G210">
        <v>148</v>
      </c>
      <c r="H210">
        <v>275</v>
      </c>
      <c r="I210" t="str">
        <f>VLOOKUP(Call_Center_Data[[#This Row],[Emp ID]],Employee[],2,FALSE)</f>
        <v>Ultor John</v>
      </c>
      <c r="J210" t="str">
        <f>VLOOKUP(Call_Center_Data[[#This Row],[Emp ID]], Employee[], 3, FALSE)</f>
        <v>Spokane, WA</v>
      </c>
      <c r="K210" t="str">
        <f>VLOOKUP(Call_Center_Data[[#This Row],[Emp ID]], Employee[], 4, FALSE)</f>
        <v>John Mack</v>
      </c>
      <c r="L210" t="str">
        <f>VLOOKUP(Call_Center_Data[[#This Row],[Call Type ID]], Call_Type[], 2, FALSE)</f>
        <v>Sales</v>
      </c>
    </row>
    <row r="211" spans="1:12" x14ac:dyDescent="0.3">
      <c r="A211">
        <v>210</v>
      </c>
      <c r="B211">
        <v>3</v>
      </c>
      <c r="C211" s="1">
        <v>44804</v>
      </c>
      <c r="D211" s="2" t="s">
        <v>74</v>
      </c>
      <c r="E211">
        <v>0</v>
      </c>
      <c r="F211">
        <v>17</v>
      </c>
      <c r="G211">
        <v>155</v>
      </c>
      <c r="H211">
        <v>97</v>
      </c>
      <c r="I211" t="str">
        <f>VLOOKUP(Call_Center_Data[[#This Row],[Emp ID]],Employee[],2,FALSE)</f>
        <v>Gina John</v>
      </c>
      <c r="J211" t="str">
        <f>VLOOKUP(Call_Center_Data[[#This Row],[Emp ID]], Employee[], 3, FALSE)</f>
        <v>Jacksonville, WA</v>
      </c>
      <c r="K211" t="str">
        <f>VLOOKUP(Call_Center_Data[[#This Row],[Emp ID]], Employee[], 4, FALSE)</f>
        <v>Henry Gill</v>
      </c>
      <c r="L211" t="str">
        <f>VLOOKUP(Call_Center_Data[[#This Row],[Call Type ID]], Call_Type[], 2, FALSE)</f>
        <v>Tech Sup</v>
      </c>
    </row>
    <row r="212" spans="1:12" x14ac:dyDescent="0.3">
      <c r="A212">
        <v>211</v>
      </c>
      <c r="B212">
        <v>1</v>
      </c>
      <c r="C212" s="1">
        <v>44805</v>
      </c>
      <c r="D212" s="2" t="s">
        <v>87</v>
      </c>
      <c r="E212">
        <v>0</v>
      </c>
      <c r="F212">
        <v>21</v>
      </c>
      <c r="G212">
        <v>154</v>
      </c>
      <c r="H212">
        <v>123</v>
      </c>
      <c r="I212" t="str">
        <f>VLOOKUP(Call_Center_Data[[#This Row],[Emp ID]],Employee[],2,FALSE)</f>
        <v>Gina Saab</v>
      </c>
      <c r="J212" t="str">
        <f>VLOOKUP(Call_Center_Data[[#This Row],[Emp ID]], Employee[], 3, FALSE)</f>
        <v>Jacksonville, WA</v>
      </c>
      <c r="K212" t="str">
        <f>VLOOKUP(Call_Center_Data[[#This Row],[Emp ID]], Employee[], 4, FALSE)</f>
        <v>Jenny Gill</v>
      </c>
      <c r="L212" t="str">
        <f>VLOOKUP(Call_Center_Data[[#This Row],[Call Type ID]], Call_Type[], 2, FALSE)</f>
        <v>Billing</v>
      </c>
    </row>
    <row r="213" spans="1:12" x14ac:dyDescent="0.3">
      <c r="A213">
        <v>212</v>
      </c>
      <c r="B213">
        <v>1</v>
      </c>
      <c r="C213" s="1">
        <v>44806</v>
      </c>
      <c r="D213" s="2" t="s">
        <v>85</v>
      </c>
      <c r="E213">
        <v>1</v>
      </c>
      <c r="F213">
        <v>17</v>
      </c>
      <c r="G213">
        <v>146</v>
      </c>
      <c r="H213">
        <v>66</v>
      </c>
      <c r="I213" t="str">
        <f>VLOOKUP(Call_Center_Data[[#This Row],[Emp ID]],Employee[],2,FALSE)</f>
        <v>Tina Gilder</v>
      </c>
      <c r="J213" t="str">
        <f>VLOOKUP(Call_Center_Data[[#This Row],[Emp ID]], Employee[], 3, FALSE)</f>
        <v>Spokane, WA</v>
      </c>
      <c r="K213" t="str">
        <f>VLOOKUP(Call_Center_Data[[#This Row],[Emp ID]], Employee[], 4, FALSE)</f>
        <v>Timmy Baas</v>
      </c>
      <c r="L213" t="str">
        <f>VLOOKUP(Call_Center_Data[[#This Row],[Call Type ID]], Call_Type[], 2, FALSE)</f>
        <v>Billing</v>
      </c>
    </row>
    <row r="214" spans="1:12" x14ac:dyDescent="0.3">
      <c r="A214">
        <v>213</v>
      </c>
      <c r="B214">
        <v>2</v>
      </c>
      <c r="C214" s="1">
        <v>44807</v>
      </c>
      <c r="D214" s="2" t="s">
        <v>71</v>
      </c>
      <c r="E214">
        <v>1</v>
      </c>
      <c r="F214">
        <v>23</v>
      </c>
      <c r="G214">
        <v>148</v>
      </c>
      <c r="H214">
        <v>110</v>
      </c>
      <c r="I214" t="str">
        <f>VLOOKUP(Call_Center_Data[[#This Row],[Emp ID]],Employee[],2,FALSE)</f>
        <v>Sam Pat</v>
      </c>
      <c r="J214" t="str">
        <f>VLOOKUP(Call_Center_Data[[#This Row],[Emp ID]], Employee[], 3, FALSE)</f>
        <v>Aurora, CO</v>
      </c>
      <c r="K214" t="str">
        <f>VLOOKUP(Call_Center_Data[[#This Row],[Emp ID]], Employee[], 4, FALSE)</f>
        <v>Henry Mack</v>
      </c>
      <c r="L214" t="str">
        <f>VLOOKUP(Call_Center_Data[[#This Row],[Call Type ID]], Call_Type[], 2, FALSE)</f>
        <v>Sales</v>
      </c>
    </row>
    <row r="215" spans="1:12" x14ac:dyDescent="0.3">
      <c r="A215">
        <v>214</v>
      </c>
      <c r="B215">
        <v>3</v>
      </c>
      <c r="C215" s="1">
        <v>44808</v>
      </c>
      <c r="D215" s="2" t="s">
        <v>86</v>
      </c>
      <c r="E215">
        <v>1</v>
      </c>
      <c r="F215">
        <v>23</v>
      </c>
      <c r="G215">
        <v>146</v>
      </c>
      <c r="H215">
        <v>259</v>
      </c>
      <c r="I215" t="str">
        <f>VLOOKUP(Call_Center_Data[[#This Row],[Emp ID]],Employee[],2,FALSE)</f>
        <v>Jill Gilder</v>
      </c>
      <c r="J215" t="str">
        <f>VLOOKUP(Call_Center_Data[[#This Row],[Emp ID]], Employee[], 3, FALSE)</f>
        <v>Aurora, CO</v>
      </c>
      <c r="K215" t="str">
        <f>VLOOKUP(Call_Center_Data[[#This Row],[Emp ID]], Employee[], 4, FALSE)</f>
        <v>Jenny Baas</v>
      </c>
      <c r="L215" t="str">
        <f>VLOOKUP(Call_Center_Data[[#This Row],[Call Type ID]], Call_Type[], 2, FALSE)</f>
        <v>Tech Sup</v>
      </c>
    </row>
    <row r="216" spans="1:12" x14ac:dyDescent="0.3">
      <c r="A216">
        <v>215</v>
      </c>
      <c r="B216">
        <v>3</v>
      </c>
      <c r="C216" s="1">
        <v>44809</v>
      </c>
      <c r="D216" s="2" t="s">
        <v>72</v>
      </c>
      <c r="E216">
        <v>1</v>
      </c>
      <c r="F216">
        <v>28</v>
      </c>
      <c r="G216">
        <v>144</v>
      </c>
      <c r="H216">
        <v>81</v>
      </c>
      <c r="I216" t="str">
        <f>VLOOKUP(Call_Center_Data[[#This Row],[Emp ID]],Employee[],2,FALSE)</f>
        <v>Ultor Pat</v>
      </c>
      <c r="J216" t="str">
        <f>VLOOKUP(Call_Center_Data[[#This Row],[Emp ID]], Employee[], 3, FALSE)</f>
        <v>Jacksonville, WA</v>
      </c>
      <c r="K216" t="str">
        <f>VLOOKUP(Call_Center_Data[[#This Row],[Emp ID]], Employee[], 4, FALSE)</f>
        <v>Jenny Hall</v>
      </c>
      <c r="L216" t="str">
        <f>VLOOKUP(Call_Center_Data[[#This Row],[Call Type ID]], Call_Type[], 2, FALSE)</f>
        <v>Tech Sup</v>
      </c>
    </row>
    <row r="217" spans="1:12" x14ac:dyDescent="0.3">
      <c r="A217">
        <v>216</v>
      </c>
      <c r="B217">
        <v>3</v>
      </c>
      <c r="C217" s="1">
        <v>44810</v>
      </c>
      <c r="D217" s="2" t="s">
        <v>66</v>
      </c>
      <c r="E217">
        <v>0</v>
      </c>
      <c r="F217">
        <v>23</v>
      </c>
      <c r="G217">
        <v>144</v>
      </c>
      <c r="H217">
        <v>131</v>
      </c>
      <c r="I217" t="str">
        <f>VLOOKUP(Call_Center_Data[[#This Row],[Emp ID]],Employee[],2,FALSE)</f>
        <v>Tina John</v>
      </c>
      <c r="J217" t="str">
        <f>VLOOKUP(Call_Center_Data[[#This Row],[Emp ID]], Employee[], 3, FALSE)</f>
        <v>Aurora, CO</v>
      </c>
      <c r="K217" t="str">
        <f>VLOOKUP(Call_Center_Data[[#This Row],[Emp ID]], Employee[], 4, FALSE)</f>
        <v>Timmy Rhodes</v>
      </c>
      <c r="L217" t="str">
        <f>VLOOKUP(Call_Center_Data[[#This Row],[Call Type ID]], Call_Type[], 2, FALSE)</f>
        <v>Tech Sup</v>
      </c>
    </row>
    <row r="218" spans="1:12" x14ac:dyDescent="0.3">
      <c r="A218">
        <v>217</v>
      </c>
      <c r="B218">
        <v>3</v>
      </c>
      <c r="C218" s="1">
        <v>44811</v>
      </c>
      <c r="D218" s="2" t="s">
        <v>64</v>
      </c>
      <c r="E218">
        <v>0</v>
      </c>
      <c r="F218">
        <v>26</v>
      </c>
      <c r="G218">
        <v>139</v>
      </c>
      <c r="H218">
        <v>170</v>
      </c>
      <c r="I218" t="str">
        <f>VLOOKUP(Call_Center_Data[[#This Row],[Emp ID]],Employee[],2,FALSE)</f>
        <v>Jill Simons</v>
      </c>
      <c r="J218" t="str">
        <f>VLOOKUP(Call_Center_Data[[#This Row],[Emp ID]], Employee[], 3, FALSE)</f>
        <v>Spokane, WA</v>
      </c>
      <c r="K218" t="str">
        <f>VLOOKUP(Call_Center_Data[[#This Row],[Emp ID]], Employee[], 4, FALSE)</f>
        <v>Jenny Rhodes</v>
      </c>
      <c r="L218" t="str">
        <f>VLOOKUP(Call_Center_Data[[#This Row],[Call Type ID]], Call_Type[], 2, FALSE)</f>
        <v>Tech Sup</v>
      </c>
    </row>
    <row r="219" spans="1:12" x14ac:dyDescent="0.3">
      <c r="A219">
        <v>218</v>
      </c>
      <c r="B219">
        <v>2</v>
      </c>
      <c r="C219" s="1">
        <v>44812</v>
      </c>
      <c r="D219" s="2" t="s">
        <v>72</v>
      </c>
      <c r="E219">
        <v>0</v>
      </c>
      <c r="F219">
        <v>29</v>
      </c>
      <c r="G219">
        <v>143</v>
      </c>
      <c r="H219">
        <v>496</v>
      </c>
      <c r="I219" t="str">
        <f>VLOOKUP(Call_Center_Data[[#This Row],[Emp ID]],Employee[],2,FALSE)</f>
        <v>Ultor Pat</v>
      </c>
      <c r="J219" t="str">
        <f>VLOOKUP(Call_Center_Data[[#This Row],[Emp ID]], Employee[], 3, FALSE)</f>
        <v>Jacksonville, WA</v>
      </c>
      <c r="K219" t="str">
        <f>VLOOKUP(Call_Center_Data[[#This Row],[Emp ID]], Employee[], 4, FALSE)</f>
        <v>Jenny Hall</v>
      </c>
      <c r="L219" t="str">
        <f>VLOOKUP(Call_Center_Data[[#This Row],[Call Type ID]], Call_Type[], 2, FALSE)</f>
        <v>Sales</v>
      </c>
    </row>
    <row r="220" spans="1:12" x14ac:dyDescent="0.3">
      <c r="A220">
        <v>219</v>
      </c>
      <c r="B220">
        <v>3</v>
      </c>
      <c r="C220" s="1">
        <v>44813</v>
      </c>
      <c r="D220" s="2" t="s">
        <v>68</v>
      </c>
      <c r="E220">
        <v>1</v>
      </c>
      <c r="F220">
        <v>23</v>
      </c>
      <c r="G220">
        <v>140</v>
      </c>
      <c r="H220">
        <v>376</v>
      </c>
      <c r="I220" t="str">
        <f>VLOOKUP(Call_Center_Data[[#This Row],[Emp ID]],Employee[],2,FALSE)</f>
        <v>Tina Saab</v>
      </c>
      <c r="J220" t="str">
        <f>VLOOKUP(Call_Center_Data[[#This Row],[Emp ID]], Employee[], 3, FALSE)</f>
        <v>Spokane, WA</v>
      </c>
      <c r="K220" t="str">
        <f>VLOOKUP(Call_Center_Data[[#This Row],[Emp ID]], Employee[], 4, FALSE)</f>
        <v>Henry Baas</v>
      </c>
      <c r="L220" t="str">
        <f>VLOOKUP(Call_Center_Data[[#This Row],[Call Type ID]], Call_Type[], 2, FALSE)</f>
        <v>Tech Sup</v>
      </c>
    </row>
    <row r="221" spans="1:12" x14ac:dyDescent="0.3">
      <c r="A221">
        <v>220</v>
      </c>
      <c r="B221">
        <v>1</v>
      </c>
      <c r="C221" s="1">
        <v>44814</v>
      </c>
      <c r="D221" s="2" t="s">
        <v>86</v>
      </c>
      <c r="E221">
        <v>0</v>
      </c>
      <c r="F221">
        <v>24</v>
      </c>
      <c r="G221">
        <v>136</v>
      </c>
      <c r="H221">
        <v>170</v>
      </c>
      <c r="I221" t="str">
        <f>VLOOKUP(Call_Center_Data[[#This Row],[Emp ID]],Employee[],2,FALSE)</f>
        <v>Jill Gilder</v>
      </c>
      <c r="J221" t="str">
        <f>VLOOKUP(Call_Center_Data[[#This Row],[Emp ID]], Employee[], 3, FALSE)</f>
        <v>Aurora, CO</v>
      </c>
      <c r="K221" t="str">
        <f>VLOOKUP(Call_Center_Data[[#This Row],[Emp ID]], Employee[], 4, FALSE)</f>
        <v>Jenny Baas</v>
      </c>
      <c r="L221" t="str">
        <f>VLOOKUP(Call_Center_Data[[#This Row],[Call Type ID]], Call_Type[], 2, FALSE)</f>
        <v>Billing</v>
      </c>
    </row>
    <row r="222" spans="1:12" x14ac:dyDescent="0.3">
      <c r="A222">
        <v>221</v>
      </c>
      <c r="B222">
        <v>3</v>
      </c>
      <c r="C222" s="1">
        <v>44815</v>
      </c>
      <c r="D222" s="2" t="s">
        <v>74</v>
      </c>
      <c r="E222">
        <v>1</v>
      </c>
      <c r="F222">
        <v>15</v>
      </c>
      <c r="G222">
        <v>111</v>
      </c>
      <c r="H222">
        <v>160</v>
      </c>
      <c r="I222" t="str">
        <f>VLOOKUP(Call_Center_Data[[#This Row],[Emp ID]],Employee[],2,FALSE)</f>
        <v>Gina John</v>
      </c>
      <c r="J222" t="str">
        <f>VLOOKUP(Call_Center_Data[[#This Row],[Emp ID]], Employee[], 3, FALSE)</f>
        <v>Jacksonville, WA</v>
      </c>
      <c r="K222" t="str">
        <f>VLOOKUP(Call_Center_Data[[#This Row],[Emp ID]], Employee[], 4, FALSE)</f>
        <v>Henry Gill</v>
      </c>
      <c r="L222" t="str">
        <f>VLOOKUP(Call_Center_Data[[#This Row],[Call Type ID]], Call_Type[], 2, FALSE)</f>
        <v>Tech Sup</v>
      </c>
    </row>
    <row r="223" spans="1:12" x14ac:dyDescent="0.3">
      <c r="A223">
        <v>222</v>
      </c>
      <c r="B223">
        <v>3</v>
      </c>
      <c r="C223" s="1">
        <v>44816</v>
      </c>
      <c r="D223" s="2" t="s">
        <v>69</v>
      </c>
      <c r="E223">
        <v>1</v>
      </c>
      <c r="F223">
        <v>18</v>
      </c>
      <c r="G223">
        <v>138</v>
      </c>
      <c r="H223">
        <v>137</v>
      </c>
      <c r="I223" t="str">
        <f>VLOOKUP(Call_Center_Data[[#This Row],[Emp ID]],Employee[],2,FALSE)</f>
        <v>Sam Gilder</v>
      </c>
      <c r="J223" t="str">
        <f>VLOOKUP(Call_Center_Data[[#This Row],[Emp ID]], Employee[], 3, FALSE)</f>
        <v>Jacksonville, WA</v>
      </c>
      <c r="K223" t="str">
        <f>VLOOKUP(Call_Center_Data[[#This Row],[Emp ID]], Employee[], 4, FALSE)</f>
        <v>Timmy Hall</v>
      </c>
      <c r="L223" t="str">
        <f>VLOOKUP(Call_Center_Data[[#This Row],[Call Type ID]], Call_Type[], 2, FALSE)</f>
        <v>Tech Sup</v>
      </c>
    </row>
    <row r="224" spans="1:12" x14ac:dyDescent="0.3">
      <c r="A224">
        <v>223</v>
      </c>
      <c r="B224">
        <v>2</v>
      </c>
      <c r="C224" s="1">
        <v>44817</v>
      </c>
      <c r="D224" s="2" t="s">
        <v>75</v>
      </c>
      <c r="E224">
        <v>1</v>
      </c>
      <c r="F224">
        <v>23</v>
      </c>
      <c r="G224">
        <v>118</v>
      </c>
      <c r="H224">
        <v>332</v>
      </c>
      <c r="I224" t="str">
        <f>VLOOKUP(Call_Center_Data[[#This Row],[Emp ID]],Employee[],2,FALSE)</f>
        <v>Gina Pat</v>
      </c>
      <c r="J224" t="str">
        <f>VLOOKUP(Call_Center_Data[[#This Row],[Emp ID]], Employee[], 3, FALSE)</f>
        <v>Spokane, WA</v>
      </c>
      <c r="K224" t="str">
        <f>VLOOKUP(Call_Center_Data[[#This Row],[Emp ID]], Employee[], 4, FALSE)</f>
        <v>Henry Hall</v>
      </c>
      <c r="L224" t="str">
        <f>VLOOKUP(Call_Center_Data[[#This Row],[Call Type ID]], Call_Type[], 2, FALSE)</f>
        <v>Sales</v>
      </c>
    </row>
    <row r="225" spans="1:12" x14ac:dyDescent="0.3">
      <c r="A225">
        <v>224</v>
      </c>
      <c r="B225">
        <v>2</v>
      </c>
      <c r="C225" s="1">
        <v>44818</v>
      </c>
      <c r="D225" s="2" t="s">
        <v>65</v>
      </c>
      <c r="E225">
        <v>0</v>
      </c>
      <c r="F225">
        <v>27</v>
      </c>
      <c r="G225">
        <v>142</v>
      </c>
      <c r="H225">
        <v>165</v>
      </c>
      <c r="I225" t="str">
        <f>VLOOKUP(Call_Center_Data[[#This Row],[Emp ID]],Employee[],2,FALSE)</f>
        <v>Ultor John</v>
      </c>
      <c r="J225" t="str">
        <f>VLOOKUP(Call_Center_Data[[#This Row],[Emp ID]], Employee[], 3, FALSE)</f>
        <v>Spokane, WA</v>
      </c>
      <c r="K225" t="str">
        <f>VLOOKUP(Call_Center_Data[[#This Row],[Emp ID]], Employee[], 4, FALSE)</f>
        <v>John Mack</v>
      </c>
      <c r="L225" t="str">
        <f>VLOOKUP(Call_Center_Data[[#This Row],[Call Type ID]], Call_Type[], 2, FALSE)</f>
        <v>Sales</v>
      </c>
    </row>
    <row r="226" spans="1:12" x14ac:dyDescent="0.3">
      <c r="A226">
        <v>225</v>
      </c>
      <c r="B226">
        <v>3</v>
      </c>
      <c r="C226" s="1">
        <v>44819</v>
      </c>
      <c r="D226" s="2" t="s">
        <v>69</v>
      </c>
      <c r="E226">
        <v>1</v>
      </c>
      <c r="F226">
        <v>25</v>
      </c>
      <c r="G226">
        <v>134</v>
      </c>
      <c r="H226">
        <v>179</v>
      </c>
      <c r="I226" t="str">
        <f>VLOOKUP(Call_Center_Data[[#This Row],[Emp ID]],Employee[],2,FALSE)</f>
        <v>Sam Gilder</v>
      </c>
      <c r="J226" t="str">
        <f>VLOOKUP(Call_Center_Data[[#This Row],[Emp ID]], Employee[], 3, FALSE)</f>
        <v>Jacksonville, WA</v>
      </c>
      <c r="K226" t="str">
        <f>VLOOKUP(Call_Center_Data[[#This Row],[Emp ID]], Employee[], 4, FALSE)</f>
        <v>Timmy Hall</v>
      </c>
      <c r="L226" t="str">
        <f>VLOOKUP(Call_Center_Data[[#This Row],[Call Type ID]], Call_Type[], 2, FALSE)</f>
        <v>Tech Sup</v>
      </c>
    </row>
    <row r="227" spans="1:12" x14ac:dyDescent="0.3">
      <c r="A227">
        <v>226</v>
      </c>
      <c r="B227">
        <v>1</v>
      </c>
      <c r="C227" s="1">
        <v>44820</v>
      </c>
      <c r="D227" s="2" t="s">
        <v>77</v>
      </c>
      <c r="E227">
        <v>1</v>
      </c>
      <c r="F227">
        <v>24</v>
      </c>
      <c r="G227">
        <v>158</v>
      </c>
      <c r="H227">
        <v>275</v>
      </c>
      <c r="I227" t="str">
        <f>VLOOKUP(Call_Center_Data[[#This Row],[Emp ID]],Employee[],2,FALSE)</f>
        <v>Sam Saab</v>
      </c>
      <c r="J227" t="str">
        <f>VLOOKUP(Call_Center_Data[[#This Row],[Emp ID]], Employee[], 3, FALSE)</f>
        <v>Aurora, CO</v>
      </c>
      <c r="K227" t="str">
        <f>VLOOKUP(Call_Center_Data[[#This Row],[Emp ID]], Employee[], 4, FALSE)</f>
        <v>Timmy Mack</v>
      </c>
      <c r="L227" t="str">
        <f>VLOOKUP(Call_Center_Data[[#This Row],[Call Type ID]], Call_Type[], 2, FALSE)</f>
        <v>Billing</v>
      </c>
    </row>
    <row r="228" spans="1:12" x14ac:dyDescent="0.3">
      <c r="A228">
        <v>227</v>
      </c>
      <c r="B228">
        <v>2</v>
      </c>
      <c r="C228" s="1">
        <v>44821</v>
      </c>
      <c r="D228" s="2" t="s">
        <v>78</v>
      </c>
      <c r="E228">
        <v>0</v>
      </c>
      <c r="F228">
        <v>18</v>
      </c>
      <c r="G228">
        <v>153</v>
      </c>
      <c r="H228">
        <v>122</v>
      </c>
      <c r="I228" t="str">
        <f>VLOOKUP(Call_Center_Data[[#This Row],[Emp ID]],Employee[],2,FALSE)</f>
        <v>Jill Saab</v>
      </c>
      <c r="J228" t="str">
        <f>VLOOKUP(Call_Center_Data[[#This Row],[Emp ID]], Employee[], 3, FALSE)</f>
        <v>Spokane, WA</v>
      </c>
      <c r="K228" t="str">
        <f>VLOOKUP(Call_Center_Data[[#This Row],[Emp ID]], Employee[], 4, FALSE)</f>
        <v>Timmy Gill</v>
      </c>
      <c r="L228" t="str">
        <f>VLOOKUP(Call_Center_Data[[#This Row],[Call Type ID]], Call_Type[], 2, FALSE)</f>
        <v>Sales</v>
      </c>
    </row>
    <row r="229" spans="1:12" x14ac:dyDescent="0.3">
      <c r="A229">
        <v>228</v>
      </c>
      <c r="B229">
        <v>2</v>
      </c>
      <c r="C229" s="1">
        <v>44822</v>
      </c>
      <c r="D229" s="2" t="s">
        <v>74</v>
      </c>
      <c r="E229">
        <v>0</v>
      </c>
      <c r="F229">
        <v>21</v>
      </c>
      <c r="G229">
        <v>152</v>
      </c>
      <c r="H229">
        <v>111</v>
      </c>
      <c r="I229" t="str">
        <f>VLOOKUP(Call_Center_Data[[#This Row],[Emp ID]],Employee[],2,FALSE)</f>
        <v>Gina John</v>
      </c>
      <c r="J229" t="str">
        <f>VLOOKUP(Call_Center_Data[[#This Row],[Emp ID]], Employee[], 3, FALSE)</f>
        <v>Jacksonville, WA</v>
      </c>
      <c r="K229" t="str">
        <f>VLOOKUP(Call_Center_Data[[#This Row],[Emp ID]], Employee[], 4, FALSE)</f>
        <v>Henry Gill</v>
      </c>
      <c r="L229" t="str">
        <f>VLOOKUP(Call_Center_Data[[#This Row],[Call Type ID]], Call_Type[], 2, FALSE)</f>
        <v>Sales</v>
      </c>
    </row>
    <row r="230" spans="1:12" x14ac:dyDescent="0.3">
      <c r="A230">
        <v>229</v>
      </c>
      <c r="B230">
        <v>2</v>
      </c>
      <c r="C230" s="1">
        <v>44823</v>
      </c>
      <c r="D230" s="2" t="s">
        <v>79</v>
      </c>
      <c r="E230">
        <v>1</v>
      </c>
      <c r="F230">
        <v>17</v>
      </c>
      <c r="G230">
        <v>127</v>
      </c>
      <c r="H230">
        <v>91</v>
      </c>
      <c r="I230" t="str">
        <f>VLOOKUP(Call_Center_Data[[#This Row],[Emp ID]],Employee[],2,FALSE)</f>
        <v>Gina Simons</v>
      </c>
      <c r="J230" t="str">
        <f>VLOOKUP(Call_Center_Data[[#This Row],[Emp ID]], Employee[], 3, FALSE)</f>
        <v>Spokane, WA</v>
      </c>
      <c r="K230" t="str">
        <f>VLOOKUP(Call_Center_Data[[#This Row],[Emp ID]], Employee[], 4, FALSE)</f>
        <v>John Rhodes</v>
      </c>
      <c r="L230" t="str">
        <f>VLOOKUP(Call_Center_Data[[#This Row],[Call Type ID]], Call_Type[], 2, FALSE)</f>
        <v>Sales</v>
      </c>
    </row>
    <row r="231" spans="1:12" x14ac:dyDescent="0.3">
      <c r="A231">
        <v>230</v>
      </c>
      <c r="B231">
        <v>2</v>
      </c>
      <c r="C231" s="1">
        <v>44824</v>
      </c>
      <c r="D231" s="2" t="s">
        <v>75</v>
      </c>
      <c r="E231">
        <v>0</v>
      </c>
      <c r="F231">
        <v>27</v>
      </c>
      <c r="G231">
        <v>150</v>
      </c>
      <c r="H231">
        <v>139</v>
      </c>
      <c r="I231" t="str">
        <f>VLOOKUP(Call_Center_Data[[#This Row],[Emp ID]],Employee[],2,FALSE)</f>
        <v>Gina Pat</v>
      </c>
      <c r="J231" t="str">
        <f>VLOOKUP(Call_Center_Data[[#This Row],[Emp ID]], Employee[], 3, FALSE)</f>
        <v>Spokane, WA</v>
      </c>
      <c r="K231" t="str">
        <f>VLOOKUP(Call_Center_Data[[#This Row],[Emp ID]], Employee[], 4, FALSE)</f>
        <v>Henry Hall</v>
      </c>
      <c r="L231" t="str">
        <f>VLOOKUP(Call_Center_Data[[#This Row],[Call Type ID]], Call_Type[], 2, FALSE)</f>
        <v>Sales</v>
      </c>
    </row>
    <row r="232" spans="1:12" x14ac:dyDescent="0.3">
      <c r="A232">
        <v>231</v>
      </c>
      <c r="B232">
        <v>3</v>
      </c>
      <c r="C232" s="1">
        <v>44825</v>
      </c>
      <c r="D232" s="2" t="s">
        <v>68</v>
      </c>
      <c r="E232">
        <v>1</v>
      </c>
      <c r="F232">
        <v>20</v>
      </c>
      <c r="G232">
        <v>145</v>
      </c>
      <c r="H232">
        <v>113</v>
      </c>
      <c r="I232" t="str">
        <f>VLOOKUP(Call_Center_Data[[#This Row],[Emp ID]],Employee[],2,FALSE)</f>
        <v>Tina Saab</v>
      </c>
      <c r="J232" t="str">
        <f>VLOOKUP(Call_Center_Data[[#This Row],[Emp ID]], Employee[], 3, FALSE)</f>
        <v>Spokane, WA</v>
      </c>
      <c r="K232" t="str">
        <f>VLOOKUP(Call_Center_Data[[#This Row],[Emp ID]], Employee[], 4, FALSE)</f>
        <v>Henry Baas</v>
      </c>
      <c r="L232" t="str">
        <f>VLOOKUP(Call_Center_Data[[#This Row],[Call Type ID]], Call_Type[], 2, FALSE)</f>
        <v>Tech Sup</v>
      </c>
    </row>
    <row r="233" spans="1:12" x14ac:dyDescent="0.3">
      <c r="A233">
        <v>232</v>
      </c>
      <c r="B233">
        <v>1</v>
      </c>
      <c r="C233" s="1">
        <v>44826</v>
      </c>
      <c r="D233" s="2" t="s">
        <v>72</v>
      </c>
      <c r="E233">
        <v>1</v>
      </c>
      <c r="F233">
        <v>21</v>
      </c>
      <c r="G233">
        <v>140</v>
      </c>
      <c r="H233">
        <v>165</v>
      </c>
      <c r="I233" t="str">
        <f>VLOOKUP(Call_Center_Data[[#This Row],[Emp ID]],Employee[],2,FALSE)</f>
        <v>Ultor Pat</v>
      </c>
      <c r="J233" t="str">
        <f>VLOOKUP(Call_Center_Data[[#This Row],[Emp ID]], Employee[], 3, FALSE)</f>
        <v>Jacksonville, WA</v>
      </c>
      <c r="K233" t="str">
        <f>VLOOKUP(Call_Center_Data[[#This Row],[Emp ID]], Employee[], 4, FALSE)</f>
        <v>Jenny Hall</v>
      </c>
      <c r="L233" t="str">
        <f>VLOOKUP(Call_Center_Data[[#This Row],[Call Type ID]], Call_Type[], 2, FALSE)</f>
        <v>Billing</v>
      </c>
    </row>
    <row r="234" spans="1:12" x14ac:dyDescent="0.3">
      <c r="A234">
        <v>233</v>
      </c>
      <c r="B234">
        <v>1</v>
      </c>
      <c r="C234" s="1">
        <v>44827</v>
      </c>
      <c r="D234" s="2" t="s">
        <v>67</v>
      </c>
      <c r="E234">
        <v>1</v>
      </c>
      <c r="F234">
        <v>38</v>
      </c>
      <c r="G234">
        <v>144</v>
      </c>
      <c r="H234">
        <v>330</v>
      </c>
      <c r="I234" t="str">
        <f>VLOOKUP(Call_Center_Data[[#This Row],[Emp ID]],Employee[],2,FALSE)</f>
        <v>Tina Pat</v>
      </c>
      <c r="J234" t="str">
        <f>VLOOKUP(Call_Center_Data[[#This Row],[Emp ID]], Employee[], 3, FALSE)</f>
        <v>Jacksonville, WA</v>
      </c>
      <c r="K234" t="str">
        <f>VLOOKUP(Call_Center_Data[[#This Row],[Emp ID]], Employee[], 4, FALSE)</f>
        <v>John Hall</v>
      </c>
      <c r="L234" t="str">
        <f>VLOOKUP(Call_Center_Data[[#This Row],[Call Type ID]], Call_Type[], 2, FALSE)</f>
        <v>Billing</v>
      </c>
    </row>
    <row r="235" spans="1:12" x14ac:dyDescent="0.3">
      <c r="A235">
        <v>234</v>
      </c>
      <c r="B235">
        <v>2</v>
      </c>
      <c r="C235" s="1">
        <v>44828</v>
      </c>
      <c r="D235" s="2" t="s">
        <v>80</v>
      </c>
      <c r="E235">
        <v>1</v>
      </c>
      <c r="F235">
        <v>32</v>
      </c>
      <c r="G235">
        <v>169</v>
      </c>
      <c r="H235">
        <v>330</v>
      </c>
      <c r="I235" t="str">
        <f>VLOOKUP(Call_Center_Data[[#This Row],[Emp ID]],Employee[],2,FALSE)</f>
        <v>Tina Simons</v>
      </c>
      <c r="J235" t="str">
        <f>VLOOKUP(Call_Center_Data[[#This Row],[Emp ID]], Employee[], 3, FALSE)</f>
        <v>Aurora, CO</v>
      </c>
      <c r="K235" t="str">
        <f>VLOOKUP(Call_Center_Data[[#This Row],[Emp ID]], Employee[], 4, FALSE)</f>
        <v>Pierce Gill</v>
      </c>
      <c r="L235" t="str">
        <f>VLOOKUP(Call_Center_Data[[#This Row],[Call Type ID]], Call_Type[], 2, FALSE)</f>
        <v>Sales</v>
      </c>
    </row>
    <row r="236" spans="1:12" x14ac:dyDescent="0.3">
      <c r="A236">
        <v>235</v>
      </c>
      <c r="B236">
        <v>1</v>
      </c>
      <c r="C236" s="1">
        <v>44829</v>
      </c>
      <c r="D236" s="2" t="s">
        <v>80</v>
      </c>
      <c r="E236">
        <v>1</v>
      </c>
      <c r="F236">
        <v>42</v>
      </c>
      <c r="G236">
        <v>156</v>
      </c>
      <c r="H236">
        <v>328</v>
      </c>
      <c r="I236" t="str">
        <f>VLOOKUP(Call_Center_Data[[#This Row],[Emp ID]],Employee[],2,FALSE)</f>
        <v>Tina Simons</v>
      </c>
      <c r="J236" t="str">
        <f>VLOOKUP(Call_Center_Data[[#This Row],[Emp ID]], Employee[], 3, FALSE)</f>
        <v>Aurora, CO</v>
      </c>
      <c r="K236" t="str">
        <f>VLOOKUP(Call_Center_Data[[#This Row],[Emp ID]], Employee[], 4, FALSE)</f>
        <v>Pierce Gill</v>
      </c>
      <c r="L236" t="str">
        <f>VLOOKUP(Call_Center_Data[[#This Row],[Call Type ID]], Call_Type[], 2, FALSE)</f>
        <v>Billing</v>
      </c>
    </row>
    <row r="237" spans="1:12" x14ac:dyDescent="0.3">
      <c r="A237">
        <v>236</v>
      </c>
      <c r="B237">
        <v>2</v>
      </c>
      <c r="C237" s="1">
        <v>44830</v>
      </c>
      <c r="D237" s="2" t="s">
        <v>84</v>
      </c>
      <c r="E237">
        <v>0</v>
      </c>
      <c r="F237">
        <v>35</v>
      </c>
      <c r="G237">
        <v>142</v>
      </c>
      <c r="H237">
        <v>190</v>
      </c>
      <c r="I237" t="str">
        <f>VLOOKUP(Call_Center_Data[[#This Row],[Emp ID]],Employee[],2,FALSE)</f>
        <v>Sam John</v>
      </c>
      <c r="J237" t="str">
        <f>VLOOKUP(Call_Center_Data[[#This Row],[Emp ID]], Employee[], 3, FALSE)</f>
        <v>Aurora, CO</v>
      </c>
      <c r="K237" t="str">
        <f>VLOOKUP(Call_Center_Data[[#This Row],[Emp ID]], Employee[], 4, FALSE)</f>
        <v>Jenny Mack</v>
      </c>
      <c r="L237" t="str">
        <f>VLOOKUP(Call_Center_Data[[#This Row],[Call Type ID]], Call_Type[], 2, FALSE)</f>
        <v>Sales</v>
      </c>
    </row>
    <row r="238" spans="1:12" x14ac:dyDescent="0.3">
      <c r="A238">
        <v>237</v>
      </c>
      <c r="B238">
        <v>3</v>
      </c>
      <c r="C238" s="1">
        <v>44831</v>
      </c>
      <c r="D238" s="2" t="s">
        <v>70</v>
      </c>
      <c r="E238">
        <v>1</v>
      </c>
      <c r="F238">
        <v>36</v>
      </c>
      <c r="G238">
        <v>168</v>
      </c>
      <c r="H238">
        <v>639</v>
      </c>
      <c r="I238" t="str">
        <f>VLOOKUP(Call_Center_Data[[#This Row],[Emp ID]],Employee[],2,FALSE)</f>
        <v>Jill Pat</v>
      </c>
      <c r="J238" t="str">
        <f>VLOOKUP(Call_Center_Data[[#This Row],[Emp ID]], Employee[], 3, FALSE)</f>
        <v>Aurora, CO</v>
      </c>
      <c r="K238" t="str">
        <f>VLOOKUP(Call_Center_Data[[#This Row],[Emp ID]], Employee[], 4, FALSE)</f>
        <v>Henry Rhodes</v>
      </c>
      <c r="L238" t="str">
        <f>VLOOKUP(Call_Center_Data[[#This Row],[Call Type ID]], Call_Type[], 2, FALSE)</f>
        <v>Tech Sup</v>
      </c>
    </row>
    <row r="239" spans="1:12" x14ac:dyDescent="0.3">
      <c r="A239">
        <v>238</v>
      </c>
      <c r="B239">
        <v>1</v>
      </c>
      <c r="C239" s="1">
        <v>44832</v>
      </c>
      <c r="D239" s="2" t="s">
        <v>86</v>
      </c>
      <c r="E239">
        <v>1</v>
      </c>
      <c r="F239">
        <v>19</v>
      </c>
      <c r="G239">
        <v>186</v>
      </c>
      <c r="H239">
        <v>314</v>
      </c>
      <c r="I239" t="str">
        <f>VLOOKUP(Call_Center_Data[[#This Row],[Emp ID]],Employee[],2,FALSE)</f>
        <v>Jill Gilder</v>
      </c>
      <c r="J239" t="str">
        <f>VLOOKUP(Call_Center_Data[[#This Row],[Emp ID]], Employee[], 3, FALSE)</f>
        <v>Aurora, CO</v>
      </c>
      <c r="K239" t="str">
        <f>VLOOKUP(Call_Center_Data[[#This Row],[Emp ID]], Employee[], 4, FALSE)</f>
        <v>Jenny Baas</v>
      </c>
      <c r="L239" t="str">
        <f>VLOOKUP(Call_Center_Data[[#This Row],[Call Type ID]], Call_Type[], 2, FALSE)</f>
        <v>Billing</v>
      </c>
    </row>
    <row r="240" spans="1:12" x14ac:dyDescent="0.3">
      <c r="A240">
        <v>239</v>
      </c>
      <c r="B240">
        <v>1</v>
      </c>
      <c r="C240" s="1">
        <v>44833</v>
      </c>
      <c r="D240" s="2" t="s">
        <v>77</v>
      </c>
      <c r="E240">
        <v>0</v>
      </c>
      <c r="F240">
        <v>25</v>
      </c>
      <c r="G240">
        <v>171</v>
      </c>
      <c r="H240">
        <v>224</v>
      </c>
      <c r="I240" t="str">
        <f>VLOOKUP(Call_Center_Data[[#This Row],[Emp ID]],Employee[],2,FALSE)</f>
        <v>Sam Saab</v>
      </c>
      <c r="J240" t="str">
        <f>VLOOKUP(Call_Center_Data[[#This Row],[Emp ID]], Employee[], 3, FALSE)</f>
        <v>Aurora, CO</v>
      </c>
      <c r="K240" t="str">
        <f>VLOOKUP(Call_Center_Data[[#This Row],[Emp ID]], Employee[], 4, FALSE)</f>
        <v>Timmy Mack</v>
      </c>
      <c r="L240" t="str">
        <f>VLOOKUP(Call_Center_Data[[#This Row],[Call Type ID]], Call_Type[], 2, FALSE)</f>
        <v>Billing</v>
      </c>
    </row>
    <row r="241" spans="1:12" x14ac:dyDescent="0.3">
      <c r="A241">
        <v>240</v>
      </c>
      <c r="B241">
        <v>3</v>
      </c>
      <c r="C241" s="1">
        <v>44834</v>
      </c>
      <c r="D241" s="2" t="s">
        <v>87</v>
      </c>
      <c r="E241">
        <v>1</v>
      </c>
      <c r="F241">
        <v>22</v>
      </c>
      <c r="G241">
        <v>161</v>
      </c>
      <c r="H241">
        <v>264</v>
      </c>
      <c r="I241" t="str">
        <f>VLOOKUP(Call_Center_Data[[#This Row],[Emp ID]],Employee[],2,FALSE)</f>
        <v>Gina Saab</v>
      </c>
      <c r="J241" t="str">
        <f>VLOOKUP(Call_Center_Data[[#This Row],[Emp ID]], Employee[], 3, FALSE)</f>
        <v>Jacksonville, WA</v>
      </c>
      <c r="K241" t="str">
        <f>VLOOKUP(Call_Center_Data[[#This Row],[Emp ID]], Employee[], 4, FALSE)</f>
        <v>Jenny Gill</v>
      </c>
      <c r="L241" t="str">
        <f>VLOOKUP(Call_Center_Data[[#This Row],[Call Type ID]], Call_Type[], 2, FALSE)</f>
        <v>Tech Sup</v>
      </c>
    </row>
    <row r="242" spans="1:12" x14ac:dyDescent="0.3">
      <c r="A242">
        <v>241</v>
      </c>
      <c r="B242">
        <v>3</v>
      </c>
      <c r="C242" s="1">
        <v>44835</v>
      </c>
      <c r="D242" s="2" t="s">
        <v>74</v>
      </c>
      <c r="E242">
        <v>0</v>
      </c>
      <c r="F242">
        <v>24</v>
      </c>
      <c r="G242">
        <v>85</v>
      </c>
      <c r="H242">
        <v>275</v>
      </c>
      <c r="I242" t="str">
        <f>VLOOKUP(Call_Center_Data[[#This Row],[Emp ID]],Employee[],2,FALSE)</f>
        <v>Gina John</v>
      </c>
      <c r="J242" t="str">
        <f>VLOOKUP(Call_Center_Data[[#This Row],[Emp ID]], Employee[], 3, FALSE)</f>
        <v>Jacksonville, WA</v>
      </c>
      <c r="K242" t="str">
        <f>VLOOKUP(Call_Center_Data[[#This Row],[Emp ID]], Employee[], 4, FALSE)</f>
        <v>Henry Gill</v>
      </c>
      <c r="L242" t="str">
        <f>VLOOKUP(Call_Center_Data[[#This Row],[Call Type ID]], Call_Type[], 2, FALSE)</f>
        <v>Tech Sup</v>
      </c>
    </row>
    <row r="243" spans="1:12" x14ac:dyDescent="0.3">
      <c r="A243">
        <v>242</v>
      </c>
      <c r="B243">
        <v>2</v>
      </c>
      <c r="C243" s="1">
        <v>44836</v>
      </c>
      <c r="D243" s="2" t="s">
        <v>85</v>
      </c>
      <c r="E243">
        <v>0</v>
      </c>
      <c r="F243">
        <v>23</v>
      </c>
      <c r="G243">
        <v>145</v>
      </c>
      <c r="H243">
        <v>137</v>
      </c>
      <c r="I243" t="str">
        <f>VLOOKUP(Call_Center_Data[[#This Row],[Emp ID]],Employee[],2,FALSE)</f>
        <v>Tina Gilder</v>
      </c>
      <c r="J243" t="str">
        <f>VLOOKUP(Call_Center_Data[[#This Row],[Emp ID]], Employee[], 3, FALSE)</f>
        <v>Spokane, WA</v>
      </c>
      <c r="K243" t="str">
        <f>VLOOKUP(Call_Center_Data[[#This Row],[Emp ID]], Employee[], 4, FALSE)</f>
        <v>Timmy Baas</v>
      </c>
      <c r="L243" t="str">
        <f>VLOOKUP(Call_Center_Data[[#This Row],[Call Type ID]], Call_Type[], 2, FALSE)</f>
        <v>Sales</v>
      </c>
    </row>
    <row r="244" spans="1:12" x14ac:dyDescent="0.3">
      <c r="A244">
        <v>243</v>
      </c>
      <c r="B244">
        <v>2</v>
      </c>
      <c r="C244" s="1">
        <v>44837</v>
      </c>
      <c r="D244" s="2" t="s">
        <v>87</v>
      </c>
      <c r="E244">
        <v>0</v>
      </c>
      <c r="F244">
        <v>15</v>
      </c>
      <c r="G244">
        <v>162</v>
      </c>
      <c r="H244">
        <v>78</v>
      </c>
      <c r="I244" t="str">
        <f>VLOOKUP(Call_Center_Data[[#This Row],[Emp ID]],Employee[],2,FALSE)</f>
        <v>Gina Saab</v>
      </c>
      <c r="J244" t="str">
        <f>VLOOKUP(Call_Center_Data[[#This Row],[Emp ID]], Employee[], 3, FALSE)</f>
        <v>Jacksonville, WA</v>
      </c>
      <c r="K244" t="str">
        <f>VLOOKUP(Call_Center_Data[[#This Row],[Emp ID]], Employee[], 4, FALSE)</f>
        <v>Jenny Gill</v>
      </c>
      <c r="L244" t="str">
        <f>VLOOKUP(Call_Center_Data[[#This Row],[Call Type ID]], Call_Type[], 2, FALSE)</f>
        <v>Sales</v>
      </c>
    </row>
    <row r="245" spans="1:12" x14ac:dyDescent="0.3">
      <c r="A245">
        <v>244</v>
      </c>
      <c r="B245">
        <v>3</v>
      </c>
      <c r="C245" s="1">
        <v>44838</v>
      </c>
      <c r="D245" s="2" t="s">
        <v>65</v>
      </c>
      <c r="E245">
        <v>0</v>
      </c>
      <c r="F245">
        <v>31</v>
      </c>
      <c r="G245">
        <v>153</v>
      </c>
      <c r="H245">
        <v>475</v>
      </c>
      <c r="I245" t="str">
        <f>VLOOKUP(Call_Center_Data[[#This Row],[Emp ID]],Employee[],2,FALSE)</f>
        <v>Ultor John</v>
      </c>
      <c r="J245" t="str">
        <f>VLOOKUP(Call_Center_Data[[#This Row],[Emp ID]], Employee[], 3, FALSE)</f>
        <v>Spokane, WA</v>
      </c>
      <c r="K245" t="str">
        <f>VLOOKUP(Call_Center_Data[[#This Row],[Emp ID]], Employee[], 4, FALSE)</f>
        <v>John Mack</v>
      </c>
      <c r="L245" t="str">
        <f>VLOOKUP(Call_Center_Data[[#This Row],[Call Type ID]], Call_Type[], 2, FALSE)</f>
        <v>Tech Sup</v>
      </c>
    </row>
    <row r="246" spans="1:12" x14ac:dyDescent="0.3">
      <c r="A246">
        <v>245</v>
      </c>
      <c r="B246">
        <v>3</v>
      </c>
      <c r="C246" s="1">
        <v>44839</v>
      </c>
      <c r="D246" s="2" t="s">
        <v>76</v>
      </c>
      <c r="E246">
        <v>0</v>
      </c>
      <c r="F246">
        <v>22</v>
      </c>
      <c r="G246">
        <v>166</v>
      </c>
      <c r="H246">
        <v>168</v>
      </c>
      <c r="I246" t="str">
        <f>VLOOKUP(Call_Center_Data[[#This Row],[Emp ID]],Employee[],2,FALSE)</f>
        <v>Ultor Saab</v>
      </c>
      <c r="J246" t="str">
        <f>VLOOKUP(Call_Center_Data[[#This Row],[Emp ID]], Employee[], 3, FALSE)</f>
        <v>Aurora, CO</v>
      </c>
      <c r="K246" t="str">
        <f>VLOOKUP(Call_Center_Data[[#This Row],[Emp ID]], Employee[], 4, FALSE)</f>
        <v>Pierce Baas</v>
      </c>
      <c r="L246" t="str">
        <f>VLOOKUP(Call_Center_Data[[#This Row],[Call Type ID]], Call_Type[], 2, FALSE)</f>
        <v>Tech Sup</v>
      </c>
    </row>
    <row r="247" spans="1:12" x14ac:dyDescent="0.3">
      <c r="A247">
        <v>246</v>
      </c>
      <c r="B247">
        <v>3</v>
      </c>
      <c r="C247" s="1">
        <v>44840</v>
      </c>
      <c r="D247" s="2" t="s">
        <v>83</v>
      </c>
      <c r="E247">
        <v>0</v>
      </c>
      <c r="F247">
        <v>29</v>
      </c>
      <c r="G247">
        <v>149</v>
      </c>
      <c r="H247">
        <v>216</v>
      </c>
      <c r="I247" t="str">
        <f>VLOOKUP(Call_Center_Data[[#This Row],[Emp ID]],Employee[],2,FALSE)</f>
        <v>Ultor Simons</v>
      </c>
      <c r="J247" t="str">
        <f>VLOOKUP(Call_Center_Data[[#This Row],[Emp ID]], Employee[], 3, FALSE)</f>
        <v>Jacksonville, WA</v>
      </c>
      <c r="K247" t="str">
        <f>VLOOKUP(Call_Center_Data[[#This Row],[Emp ID]], Employee[], 4, FALSE)</f>
        <v>Pierce Hall</v>
      </c>
      <c r="L247" t="str">
        <f>VLOOKUP(Call_Center_Data[[#This Row],[Call Type ID]], Call_Type[], 2, FALSE)</f>
        <v>Tech Sup</v>
      </c>
    </row>
    <row r="248" spans="1:12" x14ac:dyDescent="0.3">
      <c r="A248">
        <v>247</v>
      </c>
      <c r="B248">
        <v>2</v>
      </c>
      <c r="C248" s="1">
        <v>44841</v>
      </c>
      <c r="D248" s="2" t="s">
        <v>78</v>
      </c>
      <c r="E248">
        <v>1</v>
      </c>
      <c r="F248">
        <v>20</v>
      </c>
      <c r="G248">
        <v>156</v>
      </c>
      <c r="H248">
        <v>165</v>
      </c>
      <c r="I248" t="str">
        <f>VLOOKUP(Call_Center_Data[[#This Row],[Emp ID]],Employee[],2,FALSE)</f>
        <v>Jill Saab</v>
      </c>
      <c r="J248" t="str">
        <f>VLOOKUP(Call_Center_Data[[#This Row],[Emp ID]], Employee[], 3, FALSE)</f>
        <v>Spokane, WA</v>
      </c>
      <c r="K248" t="str">
        <f>VLOOKUP(Call_Center_Data[[#This Row],[Emp ID]], Employee[], 4, FALSE)</f>
        <v>Timmy Gill</v>
      </c>
      <c r="L248" t="str">
        <f>VLOOKUP(Call_Center_Data[[#This Row],[Call Type ID]], Call_Type[], 2, FALSE)</f>
        <v>Sales</v>
      </c>
    </row>
    <row r="249" spans="1:12" x14ac:dyDescent="0.3">
      <c r="A249">
        <v>248</v>
      </c>
      <c r="B249">
        <v>2</v>
      </c>
      <c r="C249" s="1">
        <v>44842</v>
      </c>
      <c r="D249" s="2" t="s">
        <v>70</v>
      </c>
      <c r="E249">
        <v>1</v>
      </c>
      <c r="F249">
        <v>24</v>
      </c>
      <c r="G249">
        <v>147</v>
      </c>
      <c r="H249">
        <v>217</v>
      </c>
      <c r="I249" t="str">
        <f>VLOOKUP(Call_Center_Data[[#This Row],[Emp ID]],Employee[],2,FALSE)</f>
        <v>Jill Pat</v>
      </c>
      <c r="J249" t="str">
        <f>VLOOKUP(Call_Center_Data[[#This Row],[Emp ID]], Employee[], 3, FALSE)</f>
        <v>Aurora, CO</v>
      </c>
      <c r="K249" t="str">
        <f>VLOOKUP(Call_Center_Data[[#This Row],[Emp ID]], Employee[], 4, FALSE)</f>
        <v>Henry Rhodes</v>
      </c>
      <c r="L249" t="str">
        <f>VLOOKUP(Call_Center_Data[[#This Row],[Call Type ID]], Call_Type[], 2, FALSE)</f>
        <v>Sales</v>
      </c>
    </row>
    <row r="250" spans="1:12" x14ac:dyDescent="0.3">
      <c r="A250">
        <v>249</v>
      </c>
      <c r="B250">
        <v>1</v>
      </c>
      <c r="C250" s="1">
        <v>44843</v>
      </c>
      <c r="D250" s="2" t="s">
        <v>85</v>
      </c>
      <c r="E250">
        <v>1</v>
      </c>
      <c r="F250">
        <v>22</v>
      </c>
      <c r="G250">
        <v>146</v>
      </c>
      <c r="H250">
        <v>122</v>
      </c>
      <c r="I250" t="str">
        <f>VLOOKUP(Call_Center_Data[[#This Row],[Emp ID]],Employee[],2,FALSE)</f>
        <v>Tina Gilder</v>
      </c>
      <c r="J250" t="str">
        <f>VLOOKUP(Call_Center_Data[[#This Row],[Emp ID]], Employee[], 3, FALSE)</f>
        <v>Spokane, WA</v>
      </c>
      <c r="K250" t="str">
        <f>VLOOKUP(Call_Center_Data[[#This Row],[Emp ID]], Employee[], 4, FALSE)</f>
        <v>Timmy Baas</v>
      </c>
      <c r="L250" t="str">
        <f>VLOOKUP(Call_Center_Data[[#This Row],[Call Type ID]], Call_Type[], 2, FALSE)</f>
        <v>Billing</v>
      </c>
    </row>
    <row r="251" spans="1:12" x14ac:dyDescent="0.3">
      <c r="A251">
        <v>250</v>
      </c>
      <c r="B251">
        <v>3</v>
      </c>
      <c r="C251" s="1">
        <v>44844</v>
      </c>
      <c r="D251" s="2" t="s">
        <v>70</v>
      </c>
      <c r="E251">
        <v>0</v>
      </c>
      <c r="F251">
        <v>19</v>
      </c>
      <c r="G251">
        <v>170</v>
      </c>
      <c r="H251">
        <v>67</v>
      </c>
      <c r="I251" t="str">
        <f>VLOOKUP(Call_Center_Data[[#This Row],[Emp ID]],Employee[],2,FALSE)</f>
        <v>Jill Pat</v>
      </c>
      <c r="J251" t="str">
        <f>VLOOKUP(Call_Center_Data[[#This Row],[Emp ID]], Employee[], 3, FALSE)</f>
        <v>Aurora, CO</v>
      </c>
      <c r="K251" t="str">
        <f>VLOOKUP(Call_Center_Data[[#This Row],[Emp ID]], Employee[], 4, FALSE)</f>
        <v>Henry Rhodes</v>
      </c>
      <c r="L251" t="str">
        <f>VLOOKUP(Call_Center_Data[[#This Row],[Call Type ID]], Call_Type[], 2, FALSE)</f>
        <v>Tech Sup</v>
      </c>
    </row>
    <row r="252" spans="1:12" x14ac:dyDescent="0.3">
      <c r="A252">
        <v>251</v>
      </c>
      <c r="B252">
        <v>1</v>
      </c>
      <c r="C252" s="1">
        <v>44845</v>
      </c>
      <c r="D252" s="2" t="s">
        <v>68</v>
      </c>
      <c r="E252">
        <v>1</v>
      </c>
      <c r="F252">
        <v>13</v>
      </c>
      <c r="G252">
        <v>147</v>
      </c>
      <c r="H252">
        <v>110</v>
      </c>
      <c r="I252" t="str">
        <f>VLOOKUP(Call_Center_Data[[#This Row],[Emp ID]],Employee[],2,FALSE)</f>
        <v>Tina Saab</v>
      </c>
      <c r="J252" t="str">
        <f>VLOOKUP(Call_Center_Data[[#This Row],[Emp ID]], Employee[], 3, FALSE)</f>
        <v>Spokane, WA</v>
      </c>
      <c r="K252" t="str">
        <f>VLOOKUP(Call_Center_Data[[#This Row],[Emp ID]], Employee[], 4, FALSE)</f>
        <v>Henry Baas</v>
      </c>
      <c r="L252" t="str">
        <f>VLOOKUP(Call_Center_Data[[#This Row],[Call Type ID]], Call_Type[], 2, FALSE)</f>
        <v>Billing</v>
      </c>
    </row>
    <row r="253" spans="1:12" x14ac:dyDescent="0.3">
      <c r="A253">
        <v>252</v>
      </c>
      <c r="B253">
        <v>3</v>
      </c>
      <c r="C253" s="1">
        <v>44846</v>
      </c>
      <c r="D253" s="2" t="s">
        <v>76</v>
      </c>
      <c r="E253">
        <v>0</v>
      </c>
      <c r="F253">
        <v>20</v>
      </c>
      <c r="G253">
        <v>145</v>
      </c>
      <c r="H253">
        <v>221</v>
      </c>
      <c r="I253" t="str">
        <f>VLOOKUP(Call_Center_Data[[#This Row],[Emp ID]],Employee[],2,FALSE)</f>
        <v>Ultor Saab</v>
      </c>
      <c r="J253" t="str">
        <f>VLOOKUP(Call_Center_Data[[#This Row],[Emp ID]], Employee[], 3, FALSE)</f>
        <v>Aurora, CO</v>
      </c>
      <c r="K253" t="str">
        <f>VLOOKUP(Call_Center_Data[[#This Row],[Emp ID]], Employee[], 4, FALSE)</f>
        <v>Pierce Baas</v>
      </c>
      <c r="L253" t="str">
        <f>VLOOKUP(Call_Center_Data[[#This Row],[Call Type ID]], Call_Type[], 2, FALSE)</f>
        <v>Tech Sup</v>
      </c>
    </row>
    <row r="254" spans="1:12" x14ac:dyDescent="0.3">
      <c r="A254">
        <v>253</v>
      </c>
      <c r="B254">
        <v>1</v>
      </c>
      <c r="C254" s="1">
        <v>44847</v>
      </c>
      <c r="D254" s="2" t="s">
        <v>74</v>
      </c>
      <c r="E254">
        <v>0</v>
      </c>
      <c r="F254">
        <v>32</v>
      </c>
      <c r="G254">
        <v>147</v>
      </c>
      <c r="H254">
        <v>165</v>
      </c>
      <c r="I254" t="str">
        <f>VLOOKUP(Call_Center_Data[[#This Row],[Emp ID]],Employee[],2,FALSE)</f>
        <v>Gina John</v>
      </c>
      <c r="J254" t="str">
        <f>VLOOKUP(Call_Center_Data[[#This Row],[Emp ID]], Employee[], 3, FALSE)</f>
        <v>Jacksonville, WA</v>
      </c>
      <c r="K254" t="str">
        <f>VLOOKUP(Call_Center_Data[[#This Row],[Emp ID]], Employee[], 4, FALSE)</f>
        <v>Henry Gill</v>
      </c>
      <c r="L254" t="str">
        <f>VLOOKUP(Call_Center_Data[[#This Row],[Call Type ID]], Call_Type[], 2, FALSE)</f>
        <v>Billing</v>
      </c>
    </row>
    <row r="255" spans="1:12" x14ac:dyDescent="0.3">
      <c r="A255">
        <v>254</v>
      </c>
      <c r="B255">
        <v>3</v>
      </c>
      <c r="C255" s="1">
        <v>44848</v>
      </c>
      <c r="D255" s="2" t="s">
        <v>83</v>
      </c>
      <c r="E255">
        <v>1</v>
      </c>
      <c r="F255">
        <v>20</v>
      </c>
      <c r="G255">
        <v>147</v>
      </c>
      <c r="H255">
        <v>123</v>
      </c>
      <c r="I255" t="str">
        <f>VLOOKUP(Call_Center_Data[[#This Row],[Emp ID]],Employee[],2,FALSE)</f>
        <v>Ultor Simons</v>
      </c>
      <c r="J255" t="str">
        <f>VLOOKUP(Call_Center_Data[[#This Row],[Emp ID]], Employee[], 3, FALSE)</f>
        <v>Jacksonville, WA</v>
      </c>
      <c r="K255" t="str">
        <f>VLOOKUP(Call_Center_Data[[#This Row],[Emp ID]], Employee[], 4, FALSE)</f>
        <v>Pierce Hall</v>
      </c>
      <c r="L255" t="str">
        <f>VLOOKUP(Call_Center_Data[[#This Row],[Call Type ID]], Call_Type[], 2, FALSE)</f>
        <v>Tech Sup</v>
      </c>
    </row>
    <row r="256" spans="1:12" x14ac:dyDescent="0.3">
      <c r="A256">
        <v>255</v>
      </c>
      <c r="B256">
        <v>1</v>
      </c>
      <c r="C256" s="1">
        <v>44849</v>
      </c>
      <c r="D256" s="2" t="s">
        <v>77</v>
      </c>
      <c r="E256">
        <v>0</v>
      </c>
      <c r="F256">
        <v>20</v>
      </c>
      <c r="G256">
        <v>154</v>
      </c>
      <c r="H256">
        <v>154</v>
      </c>
      <c r="I256" t="str">
        <f>VLOOKUP(Call_Center_Data[[#This Row],[Emp ID]],Employee[],2,FALSE)</f>
        <v>Sam Saab</v>
      </c>
      <c r="J256" t="str">
        <f>VLOOKUP(Call_Center_Data[[#This Row],[Emp ID]], Employee[], 3, FALSE)</f>
        <v>Aurora, CO</v>
      </c>
      <c r="K256" t="str">
        <f>VLOOKUP(Call_Center_Data[[#This Row],[Emp ID]], Employee[], 4, FALSE)</f>
        <v>Timmy Mack</v>
      </c>
      <c r="L256" t="str">
        <f>VLOOKUP(Call_Center_Data[[#This Row],[Call Type ID]], Call_Type[], 2, FALSE)</f>
        <v>Billing</v>
      </c>
    </row>
    <row r="257" spans="1:12" x14ac:dyDescent="0.3">
      <c r="A257">
        <v>256</v>
      </c>
      <c r="B257">
        <v>2</v>
      </c>
      <c r="C257" s="1">
        <v>44850</v>
      </c>
      <c r="D257" s="2" t="s">
        <v>78</v>
      </c>
      <c r="E257">
        <v>1</v>
      </c>
      <c r="F257">
        <v>23</v>
      </c>
      <c r="G257">
        <v>135</v>
      </c>
      <c r="H257">
        <v>303</v>
      </c>
      <c r="I257" t="str">
        <f>VLOOKUP(Call_Center_Data[[#This Row],[Emp ID]],Employee[],2,FALSE)</f>
        <v>Jill Saab</v>
      </c>
      <c r="J257" t="str">
        <f>VLOOKUP(Call_Center_Data[[#This Row],[Emp ID]], Employee[], 3, FALSE)</f>
        <v>Spokane, WA</v>
      </c>
      <c r="K257" t="str">
        <f>VLOOKUP(Call_Center_Data[[#This Row],[Emp ID]], Employee[], 4, FALSE)</f>
        <v>Timmy Gill</v>
      </c>
      <c r="L257" t="str">
        <f>VLOOKUP(Call_Center_Data[[#This Row],[Call Type ID]], Call_Type[], 2, FALSE)</f>
        <v>Sales</v>
      </c>
    </row>
    <row r="258" spans="1:12" x14ac:dyDescent="0.3">
      <c r="A258">
        <v>257</v>
      </c>
      <c r="B258">
        <v>2</v>
      </c>
      <c r="C258" s="1">
        <v>44851</v>
      </c>
      <c r="D258" s="2" t="s">
        <v>65</v>
      </c>
      <c r="E258">
        <v>0</v>
      </c>
      <c r="F258">
        <v>14</v>
      </c>
      <c r="G258">
        <v>145</v>
      </c>
      <c r="H258">
        <v>54</v>
      </c>
      <c r="I258" t="str">
        <f>VLOOKUP(Call_Center_Data[[#This Row],[Emp ID]],Employee[],2,FALSE)</f>
        <v>Ultor John</v>
      </c>
      <c r="J258" t="str">
        <f>VLOOKUP(Call_Center_Data[[#This Row],[Emp ID]], Employee[], 3, FALSE)</f>
        <v>Spokane, WA</v>
      </c>
      <c r="K258" t="str">
        <f>VLOOKUP(Call_Center_Data[[#This Row],[Emp ID]], Employee[], 4, FALSE)</f>
        <v>John Mack</v>
      </c>
      <c r="L258" t="str">
        <f>VLOOKUP(Call_Center_Data[[#This Row],[Call Type ID]], Call_Type[], 2, FALSE)</f>
        <v>Sales</v>
      </c>
    </row>
    <row r="259" spans="1:12" x14ac:dyDescent="0.3">
      <c r="A259">
        <v>258</v>
      </c>
      <c r="B259">
        <v>2</v>
      </c>
      <c r="C259" s="1">
        <v>44852</v>
      </c>
      <c r="D259" s="2" t="s">
        <v>76</v>
      </c>
      <c r="E259">
        <v>0</v>
      </c>
      <c r="F259">
        <v>21</v>
      </c>
      <c r="G259">
        <v>149</v>
      </c>
      <c r="H259">
        <v>270</v>
      </c>
      <c r="I259" t="str">
        <f>VLOOKUP(Call_Center_Data[[#This Row],[Emp ID]],Employee[],2,FALSE)</f>
        <v>Ultor Saab</v>
      </c>
      <c r="J259" t="str">
        <f>VLOOKUP(Call_Center_Data[[#This Row],[Emp ID]], Employee[], 3, FALSE)</f>
        <v>Aurora, CO</v>
      </c>
      <c r="K259" t="str">
        <f>VLOOKUP(Call_Center_Data[[#This Row],[Emp ID]], Employee[], 4, FALSE)</f>
        <v>Pierce Baas</v>
      </c>
      <c r="L259" t="str">
        <f>VLOOKUP(Call_Center_Data[[#This Row],[Call Type ID]], Call_Type[], 2, FALSE)</f>
        <v>Sales</v>
      </c>
    </row>
    <row r="260" spans="1:12" x14ac:dyDescent="0.3">
      <c r="A260">
        <v>259</v>
      </c>
      <c r="B260">
        <v>2</v>
      </c>
      <c r="C260" s="1">
        <v>44853</v>
      </c>
      <c r="D260" s="2" t="s">
        <v>78</v>
      </c>
      <c r="E260">
        <v>0</v>
      </c>
      <c r="F260">
        <v>16</v>
      </c>
      <c r="G260">
        <v>158</v>
      </c>
      <c r="H260">
        <v>157</v>
      </c>
      <c r="I260" t="str">
        <f>VLOOKUP(Call_Center_Data[[#This Row],[Emp ID]],Employee[],2,FALSE)</f>
        <v>Jill Saab</v>
      </c>
      <c r="J260" t="str">
        <f>VLOOKUP(Call_Center_Data[[#This Row],[Emp ID]], Employee[], 3, FALSE)</f>
        <v>Spokane, WA</v>
      </c>
      <c r="K260" t="str">
        <f>VLOOKUP(Call_Center_Data[[#This Row],[Emp ID]], Employee[], 4, FALSE)</f>
        <v>Timmy Gill</v>
      </c>
      <c r="L260" t="str">
        <f>VLOOKUP(Call_Center_Data[[#This Row],[Call Type ID]], Call_Type[], 2, FALSE)</f>
        <v>Sales</v>
      </c>
    </row>
    <row r="261" spans="1:12" x14ac:dyDescent="0.3">
      <c r="A261">
        <v>260</v>
      </c>
      <c r="B261">
        <v>3</v>
      </c>
      <c r="C261" s="1">
        <v>44854</v>
      </c>
      <c r="D261" s="2" t="s">
        <v>67</v>
      </c>
      <c r="E261">
        <v>1</v>
      </c>
      <c r="F261">
        <v>19</v>
      </c>
      <c r="G261">
        <v>142</v>
      </c>
      <c r="H261">
        <v>229</v>
      </c>
      <c r="I261" t="str">
        <f>VLOOKUP(Call_Center_Data[[#This Row],[Emp ID]],Employee[],2,FALSE)</f>
        <v>Tina Pat</v>
      </c>
      <c r="J261" t="str">
        <f>VLOOKUP(Call_Center_Data[[#This Row],[Emp ID]], Employee[], 3, FALSE)</f>
        <v>Jacksonville, WA</v>
      </c>
      <c r="K261" t="str">
        <f>VLOOKUP(Call_Center_Data[[#This Row],[Emp ID]], Employee[], 4, FALSE)</f>
        <v>John Hall</v>
      </c>
      <c r="L261" t="str">
        <f>VLOOKUP(Call_Center_Data[[#This Row],[Call Type ID]], Call_Type[], 2, FALSE)</f>
        <v>Tech Sup</v>
      </c>
    </row>
    <row r="262" spans="1:12" x14ac:dyDescent="0.3">
      <c r="A262">
        <v>261</v>
      </c>
      <c r="B262">
        <v>1</v>
      </c>
      <c r="C262" s="1">
        <v>44855</v>
      </c>
      <c r="D262" s="2" t="s">
        <v>83</v>
      </c>
      <c r="E262">
        <v>1</v>
      </c>
      <c r="F262">
        <v>13</v>
      </c>
      <c r="G262">
        <v>142</v>
      </c>
      <c r="H262">
        <v>85</v>
      </c>
      <c r="I262" t="str">
        <f>VLOOKUP(Call_Center_Data[[#This Row],[Emp ID]],Employee[],2,FALSE)</f>
        <v>Ultor Simons</v>
      </c>
      <c r="J262" t="str">
        <f>VLOOKUP(Call_Center_Data[[#This Row],[Emp ID]], Employee[], 3, FALSE)</f>
        <v>Jacksonville, WA</v>
      </c>
      <c r="K262" t="str">
        <f>VLOOKUP(Call_Center_Data[[#This Row],[Emp ID]], Employee[], 4, FALSE)</f>
        <v>Pierce Hall</v>
      </c>
      <c r="L262" t="str">
        <f>VLOOKUP(Call_Center_Data[[#This Row],[Call Type ID]], Call_Type[], 2, FALSE)</f>
        <v>Billing</v>
      </c>
    </row>
    <row r="263" spans="1:12" x14ac:dyDescent="0.3">
      <c r="A263">
        <v>262</v>
      </c>
      <c r="B263">
        <v>3</v>
      </c>
      <c r="C263" s="1">
        <v>44856</v>
      </c>
      <c r="D263" s="2" t="s">
        <v>67</v>
      </c>
      <c r="E263">
        <v>0</v>
      </c>
      <c r="F263">
        <v>8</v>
      </c>
      <c r="G263">
        <v>183</v>
      </c>
      <c r="H263">
        <v>58</v>
      </c>
      <c r="I263" t="str">
        <f>VLOOKUP(Call_Center_Data[[#This Row],[Emp ID]],Employee[],2,FALSE)</f>
        <v>Tina Pat</v>
      </c>
      <c r="J263" t="str">
        <f>VLOOKUP(Call_Center_Data[[#This Row],[Emp ID]], Employee[], 3, FALSE)</f>
        <v>Jacksonville, WA</v>
      </c>
      <c r="K263" t="str">
        <f>VLOOKUP(Call_Center_Data[[#This Row],[Emp ID]], Employee[], 4, FALSE)</f>
        <v>John Hall</v>
      </c>
      <c r="L263" t="str">
        <f>VLOOKUP(Call_Center_Data[[#This Row],[Call Type ID]], Call_Type[], 2, FALSE)</f>
        <v>Tech Sup</v>
      </c>
    </row>
    <row r="264" spans="1:12" x14ac:dyDescent="0.3">
      <c r="A264">
        <v>263</v>
      </c>
      <c r="B264">
        <v>3</v>
      </c>
      <c r="C264" s="1">
        <v>44857</v>
      </c>
      <c r="D264" s="2" t="s">
        <v>70</v>
      </c>
      <c r="E264">
        <v>0</v>
      </c>
      <c r="F264">
        <v>14</v>
      </c>
      <c r="G264">
        <v>157</v>
      </c>
      <c r="H264">
        <v>59</v>
      </c>
      <c r="I264" t="str">
        <f>VLOOKUP(Call_Center_Data[[#This Row],[Emp ID]],Employee[],2,FALSE)</f>
        <v>Jill Pat</v>
      </c>
      <c r="J264" t="str">
        <f>VLOOKUP(Call_Center_Data[[#This Row],[Emp ID]], Employee[], 3, FALSE)</f>
        <v>Aurora, CO</v>
      </c>
      <c r="K264" t="str">
        <f>VLOOKUP(Call_Center_Data[[#This Row],[Emp ID]], Employee[], 4, FALSE)</f>
        <v>Henry Rhodes</v>
      </c>
      <c r="L264" t="str">
        <f>VLOOKUP(Call_Center_Data[[#This Row],[Call Type ID]], Call_Type[], 2, FALSE)</f>
        <v>Tech Sup</v>
      </c>
    </row>
    <row r="265" spans="1:12" x14ac:dyDescent="0.3">
      <c r="A265">
        <v>264</v>
      </c>
      <c r="B265">
        <v>1</v>
      </c>
      <c r="C265" s="1">
        <v>44858</v>
      </c>
      <c r="D265" s="2" t="s">
        <v>87</v>
      </c>
      <c r="E265">
        <v>1</v>
      </c>
      <c r="F265">
        <v>26</v>
      </c>
      <c r="G265">
        <v>124</v>
      </c>
      <c r="H265">
        <v>105</v>
      </c>
      <c r="I265" t="str">
        <f>VLOOKUP(Call_Center_Data[[#This Row],[Emp ID]],Employee[],2,FALSE)</f>
        <v>Gina Saab</v>
      </c>
      <c r="J265" t="str">
        <f>VLOOKUP(Call_Center_Data[[#This Row],[Emp ID]], Employee[], 3, FALSE)</f>
        <v>Jacksonville, WA</v>
      </c>
      <c r="K265" t="str">
        <f>VLOOKUP(Call_Center_Data[[#This Row],[Emp ID]], Employee[], 4, FALSE)</f>
        <v>Jenny Gill</v>
      </c>
      <c r="L265" t="str">
        <f>VLOOKUP(Call_Center_Data[[#This Row],[Call Type ID]], Call_Type[], 2, FALSE)</f>
        <v>Billing</v>
      </c>
    </row>
    <row r="266" spans="1:12" x14ac:dyDescent="0.3">
      <c r="A266">
        <v>265</v>
      </c>
      <c r="B266">
        <v>1</v>
      </c>
      <c r="C266" s="1">
        <v>44859</v>
      </c>
      <c r="D266" s="2" t="s">
        <v>86</v>
      </c>
      <c r="E266">
        <v>0</v>
      </c>
      <c r="F266">
        <v>20</v>
      </c>
      <c r="G266">
        <v>148</v>
      </c>
      <c r="H266">
        <v>221</v>
      </c>
      <c r="I266" t="str">
        <f>VLOOKUP(Call_Center_Data[[#This Row],[Emp ID]],Employee[],2,FALSE)</f>
        <v>Jill Gilder</v>
      </c>
      <c r="J266" t="str">
        <f>VLOOKUP(Call_Center_Data[[#This Row],[Emp ID]], Employee[], 3, FALSE)</f>
        <v>Aurora, CO</v>
      </c>
      <c r="K266" t="str">
        <f>VLOOKUP(Call_Center_Data[[#This Row],[Emp ID]], Employee[], 4, FALSE)</f>
        <v>Jenny Baas</v>
      </c>
      <c r="L266" t="str">
        <f>VLOOKUP(Call_Center_Data[[#This Row],[Call Type ID]], Call_Type[], 2, FALSE)</f>
        <v>Billing</v>
      </c>
    </row>
    <row r="267" spans="1:12" x14ac:dyDescent="0.3">
      <c r="A267">
        <v>266</v>
      </c>
      <c r="B267">
        <v>3</v>
      </c>
      <c r="C267" s="1">
        <v>44860</v>
      </c>
      <c r="D267" s="2" t="s">
        <v>76</v>
      </c>
      <c r="E267">
        <v>1</v>
      </c>
      <c r="F267">
        <v>19</v>
      </c>
      <c r="G267">
        <v>133</v>
      </c>
      <c r="H267">
        <v>109</v>
      </c>
      <c r="I267" t="str">
        <f>VLOOKUP(Call_Center_Data[[#This Row],[Emp ID]],Employee[],2,FALSE)</f>
        <v>Ultor Saab</v>
      </c>
      <c r="J267" t="str">
        <f>VLOOKUP(Call_Center_Data[[#This Row],[Emp ID]], Employee[], 3, FALSE)</f>
        <v>Aurora, CO</v>
      </c>
      <c r="K267" t="str">
        <f>VLOOKUP(Call_Center_Data[[#This Row],[Emp ID]], Employee[], 4, FALSE)</f>
        <v>Pierce Baas</v>
      </c>
      <c r="L267" t="str">
        <f>VLOOKUP(Call_Center_Data[[#This Row],[Call Type ID]], Call_Type[], 2, FALSE)</f>
        <v>Tech Sup</v>
      </c>
    </row>
    <row r="268" spans="1:12" x14ac:dyDescent="0.3">
      <c r="A268">
        <v>267</v>
      </c>
      <c r="B268">
        <v>1</v>
      </c>
      <c r="C268" s="1">
        <v>44861</v>
      </c>
      <c r="D268" s="2" t="s">
        <v>65</v>
      </c>
      <c r="E268">
        <v>1</v>
      </c>
      <c r="F268">
        <v>26</v>
      </c>
      <c r="G268">
        <v>156</v>
      </c>
      <c r="H268">
        <v>320</v>
      </c>
      <c r="I268" t="str">
        <f>VLOOKUP(Call_Center_Data[[#This Row],[Emp ID]],Employee[],2,FALSE)</f>
        <v>Ultor John</v>
      </c>
      <c r="J268" t="str">
        <f>VLOOKUP(Call_Center_Data[[#This Row],[Emp ID]], Employee[], 3, FALSE)</f>
        <v>Spokane, WA</v>
      </c>
      <c r="K268" t="str">
        <f>VLOOKUP(Call_Center_Data[[#This Row],[Emp ID]], Employee[], 4, FALSE)</f>
        <v>John Mack</v>
      </c>
      <c r="L268" t="str">
        <f>VLOOKUP(Call_Center_Data[[#This Row],[Call Type ID]], Call_Type[], 2, FALSE)</f>
        <v>Billing</v>
      </c>
    </row>
    <row r="269" spans="1:12" x14ac:dyDescent="0.3">
      <c r="A269">
        <v>268</v>
      </c>
      <c r="B269">
        <v>2</v>
      </c>
      <c r="C269" s="1">
        <v>44862</v>
      </c>
      <c r="D269" s="2" t="s">
        <v>88</v>
      </c>
      <c r="E269">
        <v>1</v>
      </c>
      <c r="F269">
        <v>24</v>
      </c>
      <c r="G269">
        <v>145</v>
      </c>
      <c r="H269">
        <v>224</v>
      </c>
      <c r="I269" t="str">
        <f>VLOOKUP(Call_Center_Data[[#This Row],[Emp ID]],Employee[],2,FALSE)</f>
        <v>Gina Gilder</v>
      </c>
      <c r="J269" t="str">
        <f>VLOOKUP(Call_Center_Data[[#This Row],[Emp ID]], Employee[], 3, FALSE)</f>
        <v>Jacksonville, WA</v>
      </c>
      <c r="K269" t="str">
        <f>VLOOKUP(Call_Center_Data[[#This Row],[Emp ID]], Employee[], 4, FALSE)</f>
        <v>Pierce Rhodes</v>
      </c>
      <c r="L269" t="str">
        <f>VLOOKUP(Call_Center_Data[[#This Row],[Call Type ID]], Call_Type[], 2, FALSE)</f>
        <v>Sales</v>
      </c>
    </row>
    <row r="270" spans="1:12" x14ac:dyDescent="0.3">
      <c r="A270">
        <v>269</v>
      </c>
      <c r="B270">
        <v>1</v>
      </c>
      <c r="C270" s="1">
        <v>44863</v>
      </c>
      <c r="D270" s="2" t="s">
        <v>82</v>
      </c>
      <c r="E270">
        <v>0</v>
      </c>
      <c r="F270">
        <v>21</v>
      </c>
      <c r="G270">
        <v>141</v>
      </c>
      <c r="H270">
        <v>179</v>
      </c>
      <c r="I270" t="str">
        <f>VLOOKUP(Call_Center_Data[[#This Row],[Emp ID]],Employee[],2,FALSE)</f>
        <v>Ultor Gilder</v>
      </c>
      <c r="J270" t="str">
        <f>VLOOKUP(Call_Center_Data[[#This Row],[Emp ID]], Employee[], 3, FALSE)</f>
        <v>Aurora, CO</v>
      </c>
      <c r="K270" t="str">
        <f>VLOOKUP(Call_Center_Data[[#This Row],[Emp ID]], Employee[], 4, FALSE)</f>
        <v>Pierce Mack</v>
      </c>
      <c r="L270" t="str">
        <f>VLOOKUP(Call_Center_Data[[#This Row],[Call Type ID]], Call_Type[], 2, FALSE)</f>
        <v>Billing</v>
      </c>
    </row>
    <row r="271" spans="1:12" x14ac:dyDescent="0.3">
      <c r="A271">
        <v>270</v>
      </c>
      <c r="B271">
        <v>1</v>
      </c>
      <c r="C271" s="1">
        <v>44864</v>
      </c>
      <c r="D271" s="2" t="s">
        <v>82</v>
      </c>
      <c r="E271">
        <v>0</v>
      </c>
      <c r="F271">
        <v>13</v>
      </c>
      <c r="G271">
        <v>139</v>
      </c>
      <c r="H271">
        <v>57</v>
      </c>
      <c r="I271" t="str">
        <f>VLOOKUP(Call_Center_Data[[#This Row],[Emp ID]],Employee[],2,FALSE)</f>
        <v>Ultor Gilder</v>
      </c>
      <c r="J271" t="str">
        <f>VLOOKUP(Call_Center_Data[[#This Row],[Emp ID]], Employee[], 3, FALSE)</f>
        <v>Aurora, CO</v>
      </c>
      <c r="K271" t="str">
        <f>VLOOKUP(Call_Center_Data[[#This Row],[Emp ID]], Employee[], 4, FALSE)</f>
        <v>Pierce Mack</v>
      </c>
      <c r="L271" t="str">
        <f>VLOOKUP(Call_Center_Data[[#This Row],[Call Type ID]], Call_Type[], 2, FALSE)</f>
        <v>Billing</v>
      </c>
    </row>
    <row r="272" spans="1:12" x14ac:dyDescent="0.3">
      <c r="A272">
        <v>271</v>
      </c>
      <c r="B272">
        <v>1</v>
      </c>
      <c r="C272" s="1">
        <v>44865</v>
      </c>
      <c r="D272" s="2" t="s">
        <v>73</v>
      </c>
      <c r="E272">
        <v>0</v>
      </c>
      <c r="F272">
        <v>13</v>
      </c>
      <c r="G272">
        <v>133</v>
      </c>
      <c r="H272">
        <v>78</v>
      </c>
      <c r="I272" t="str">
        <f>VLOOKUP(Call_Center_Data[[#This Row],[Emp ID]],Employee[],2,FALSE)</f>
        <v>Jill John</v>
      </c>
      <c r="J272" t="str">
        <f>VLOOKUP(Call_Center_Data[[#This Row],[Emp ID]], Employee[], 3, FALSE)</f>
        <v>Spokane, WA</v>
      </c>
      <c r="K272" t="str">
        <f>VLOOKUP(Call_Center_Data[[#This Row],[Emp ID]], Employee[], 4, FALSE)</f>
        <v>John Gill</v>
      </c>
      <c r="L272" t="str">
        <f>VLOOKUP(Call_Center_Data[[#This Row],[Call Type ID]], Call_Type[], 2, FALSE)</f>
        <v>Billing</v>
      </c>
    </row>
    <row r="273" spans="1:12" x14ac:dyDescent="0.3">
      <c r="A273">
        <v>272</v>
      </c>
      <c r="B273">
        <v>1</v>
      </c>
      <c r="C273" s="1">
        <v>44866</v>
      </c>
      <c r="D273" s="2" t="s">
        <v>81</v>
      </c>
      <c r="E273">
        <v>1</v>
      </c>
      <c r="F273">
        <v>15</v>
      </c>
      <c r="G273">
        <v>143</v>
      </c>
      <c r="H273">
        <v>100</v>
      </c>
      <c r="I273" t="str">
        <f>VLOOKUP(Call_Center_Data[[#This Row],[Emp ID]],Employee[],2,FALSE)</f>
        <v>Sam Simons</v>
      </c>
      <c r="J273" t="str">
        <f>VLOOKUP(Call_Center_Data[[#This Row],[Emp ID]], Employee[], 3, FALSE)</f>
        <v>Jacksonville, WA</v>
      </c>
      <c r="K273" t="str">
        <f>VLOOKUP(Call_Center_Data[[#This Row],[Emp ID]], Employee[], 4, FALSE)</f>
        <v>John Baas</v>
      </c>
      <c r="L273" t="str">
        <f>VLOOKUP(Call_Center_Data[[#This Row],[Call Type ID]], Call_Type[], 2, FALSE)</f>
        <v>Billing</v>
      </c>
    </row>
    <row r="274" spans="1:12" x14ac:dyDescent="0.3">
      <c r="A274">
        <v>273</v>
      </c>
      <c r="B274">
        <v>1</v>
      </c>
      <c r="C274" s="1">
        <v>44867</v>
      </c>
      <c r="D274" s="2" t="s">
        <v>66</v>
      </c>
      <c r="E274">
        <v>1</v>
      </c>
      <c r="F274">
        <v>21</v>
      </c>
      <c r="G274">
        <v>147</v>
      </c>
      <c r="H274">
        <v>143</v>
      </c>
      <c r="I274" t="str">
        <f>VLOOKUP(Call_Center_Data[[#This Row],[Emp ID]],Employee[],2,FALSE)</f>
        <v>Tina John</v>
      </c>
      <c r="J274" t="str">
        <f>VLOOKUP(Call_Center_Data[[#This Row],[Emp ID]], Employee[], 3, FALSE)</f>
        <v>Aurora, CO</v>
      </c>
      <c r="K274" t="str">
        <f>VLOOKUP(Call_Center_Data[[#This Row],[Emp ID]], Employee[], 4, FALSE)</f>
        <v>Timmy Rhodes</v>
      </c>
      <c r="L274" t="str">
        <f>VLOOKUP(Call_Center_Data[[#This Row],[Call Type ID]], Call_Type[], 2, FALSE)</f>
        <v>Billing</v>
      </c>
    </row>
    <row r="275" spans="1:12" x14ac:dyDescent="0.3">
      <c r="A275">
        <v>274</v>
      </c>
      <c r="B275">
        <v>2</v>
      </c>
      <c r="C275" s="1">
        <v>44868</v>
      </c>
      <c r="D275" s="2" t="s">
        <v>77</v>
      </c>
      <c r="E275">
        <v>1</v>
      </c>
      <c r="F275">
        <v>23</v>
      </c>
      <c r="G275">
        <v>148</v>
      </c>
      <c r="H275">
        <v>123</v>
      </c>
      <c r="I275" t="str">
        <f>VLOOKUP(Call_Center_Data[[#This Row],[Emp ID]],Employee[],2,FALSE)</f>
        <v>Sam Saab</v>
      </c>
      <c r="J275" t="str">
        <f>VLOOKUP(Call_Center_Data[[#This Row],[Emp ID]], Employee[], 3, FALSE)</f>
        <v>Aurora, CO</v>
      </c>
      <c r="K275" t="str">
        <f>VLOOKUP(Call_Center_Data[[#This Row],[Emp ID]], Employee[], 4, FALSE)</f>
        <v>Timmy Mack</v>
      </c>
      <c r="L275" t="str">
        <f>VLOOKUP(Call_Center_Data[[#This Row],[Call Type ID]], Call_Type[], 2, FALSE)</f>
        <v>Sales</v>
      </c>
    </row>
    <row r="276" spans="1:12" x14ac:dyDescent="0.3">
      <c r="A276">
        <v>275</v>
      </c>
      <c r="B276">
        <v>1</v>
      </c>
      <c r="C276" s="1">
        <v>44869</v>
      </c>
      <c r="D276" s="2" t="s">
        <v>80</v>
      </c>
      <c r="E276">
        <v>0</v>
      </c>
      <c r="F276">
        <v>20</v>
      </c>
      <c r="G276">
        <v>161</v>
      </c>
      <c r="H276">
        <v>110</v>
      </c>
      <c r="I276" t="str">
        <f>VLOOKUP(Call_Center_Data[[#This Row],[Emp ID]],Employee[],2,FALSE)</f>
        <v>Tina Simons</v>
      </c>
      <c r="J276" t="str">
        <f>VLOOKUP(Call_Center_Data[[#This Row],[Emp ID]], Employee[], 3, FALSE)</f>
        <v>Aurora, CO</v>
      </c>
      <c r="K276" t="str">
        <f>VLOOKUP(Call_Center_Data[[#This Row],[Emp ID]], Employee[], 4, FALSE)</f>
        <v>Pierce Gill</v>
      </c>
      <c r="L276" t="str">
        <f>VLOOKUP(Call_Center_Data[[#This Row],[Call Type ID]], Call_Type[], 2, FALSE)</f>
        <v>Billing</v>
      </c>
    </row>
    <row r="277" spans="1:12" x14ac:dyDescent="0.3">
      <c r="A277">
        <v>276</v>
      </c>
      <c r="B277">
        <v>3</v>
      </c>
      <c r="C277" s="1">
        <v>44870</v>
      </c>
      <c r="D277" s="2" t="s">
        <v>74</v>
      </c>
      <c r="E277">
        <v>0</v>
      </c>
      <c r="F277">
        <v>25</v>
      </c>
      <c r="G277">
        <v>147</v>
      </c>
      <c r="H277">
        <v>167</v>
      </c>
      <c r="I277" t="str">
        <f>VLOOKUP(Call_Center_Data[[#This Row],[Emp ID]],Employee[],2,FALSE)</f>
        <v>Gina John</v>
      </c>
      <c r="J277" t="str">
        <f>VLOOKUP(Call_Center_Data[[#This Row],[Emp ID]], Employee[], 3, FALSE)</f>
        <v>Jacksonville, WA</v>
      </c>
      <c r="K277" t="str">
        <f>VLOOKUP(Call_Center_Data[[#This Row],[Emp ID]], Employee[], 4, FALSE)</f>
        <v>Henry Gill</v>
      </c>
      <c r="L277" t="str">
        <f>VLOOKUP(Call_Center_Data[[#This Row],[Call Type ID]], Call_Type[], 2, FALSE)</f>
        <v>Tech Sup</v>
      </c>
    </row>
    <row r="278" spans="1:12" x14ac:dyDescent="0.3">
      <c r="A278">
        <v>277</v>
      </c>
      <c r="B278">
        <v>3</v>
      </c>
      <c r="C278" s="1">
        <v>44871</v>
      </c>
      <c r="D278" s="2" t="s">
        <v>74</v>
      </c>
      <c r="E278">
        <v>0</v>
      </c>
      <c r="F278">
        <v>26</v>
      </c>
      <c r="G278">
        <v>145</v>
      </c>
      <c r="H278">
        <v>124</v>
      </c>
      <c r="I278" t="str">
        <f>VLOOKUP(Call_Center_Data[[#This Row],[Emp ID]],Employee[],2,FALSE)</f>
        <v>Gina John</v>
      </c>
      <c r="J278" t="str">
        <f>VLOOKUP(Call_Center_Data[[#This Row],[Emp ID]], Employee[], 3, FALSE)</f>
        <v>Jacksonville, WA</v>
      </c>
      <c r="K278" t="str">
        <f>VLOOKUP(Call_Center_Data[[#This Row],[Emp ID]], Employee[], 4, FALSE)</f>
        <v>Henry Gill</v>
      </c>
      <c r="L278" t="str">
        <f>VLOOKUP(Call_Center_Data[[#This Row],[Call Type ID]], Call_Type[], 2, FALSE)</f>
        <v>Tech Sup</v>
      </c>
    </row>
    <row r="279" spans="1:12" x14ac:dyDescent="0.3">
      <c r="A279">
        <v>278</v>
      </c>
      <c r="B279">
        <v>2</v>
      </c>
      <c r="C279" s="1">
        <v>44872</v>
      </c>
      <c r="D279" s="2" t="s">
        <v>82</v>
      </c>
      <c r="E279">
        <v>1</v>
      </c>
      <c r="F279">
        <v>14</v>
      </c>
      <c r="G279">
        <v>128</v>
      </c>
      <c r="H279">
        <v>63</v>
      </c>
      <c r="I279" t="str">
        <f>VLOOKUP(Call_Center_Data[[#This Row],[Emp ID]],Employee[],2,FALSE)</f>
        <v>Ultor Gilder</v>
      </c>
      <c r="J279" t="str">
        <f>VLOOKUP(Call_Center_Data[[#This Row],[Emp ID]], Employee[], 3, FALSE)</f>
        <v>Aurora, CO</v>
      </c>
      <c r="K279" t="str">
        <f>VLOOKUP(Call_Center_Data[[#This Row],[Emp ID]], Employee[], 4, FALSE)</f>
        <v>Pierce Mack</v>
      </c>
      <c r="L279" t="str">
        <f>VLOOKUP(Call_Center_Data[[#This Row],[Call Type ID]], Call_Type[], 2, FALSE)</f>
        <v>Sales</v>
      </c>
    </row>
    <row r="280" spans="1:12" x14ac:dyDescent="0.3">
      <c r="A280">
        <v>279</v>
      </c>
      <c r="B280">
        <v>3</v>
      </c>
      <c r="C280" s="1">
        <v>44873</v>
      </c>
      <c r="D280" s="2" t="s">
        <v>77</v>
      </c>
      <c r="E280">
        <v>0</v>
      </c>
      <c r="F280">
        <v>28</v>
      </c>
      <c r="G280">
        <v>133</v>
      </c>
      <c r="H280">
        <v>153</v>
      </c>
      <c r="I280" t="str">
        <f>VLOOKUP(Call_Center_Data[[#This Row],[Emp ID]],Employee[],2,FALSE)</f>
        <v>Sam Saab</v>
      </c>
      <c r="J280" t="str">
        <f>VLOOKUP(Call_Center_Data[[#This Row],[Emp ID]], Employee[], 3, FALSE)</f>
        <v>Aurora, CO</v>
      </c>
      <c r="K280" t="str">
        <f>VLOOKUP(Call_Center_Data[[#This Row],[Emp ID]], Employee[], 4, FALSE)</f>
        <v>Timmy Mack</v>
      </c>
      <c r="L280" t="str">
        <f>VLOOKUP(Call_Center_Data[[#This Row],[Call Type ID]], Call_Type[], 2, FALSE)</f>
        <v>Tech Sup</v>
      </c>
    </row>
    <row r="281" spans="1:12" x14ac:dyDescent="0.3">
      <c r="A281">
        <v>280</v>
      </c>
      <c r="B281">
        <v>1</v>
      </c>
      <c r="C281" s="1">
        <v>44874</v>
      </c>
      <c r="D281" s="2" t="s">
        <v>82</v>
      </c>
      <c r="E281">
        <v>1</v>
      </c>
      <c r="F281">
        <v>32</v>
      </c>
      <c r="G281">
        <v>136</v>
      </c>
      <c r="H281">
        <v>236</v>
      </c>
      <c r="I281" t="str">
        <f>VLOOKUP(Call_Center_Data[[#This Row],[Emp ID]],Employee[],2,FALSE)</f>
        <v>Ultor Gilder</v>
      </c>
      <c r="J281" t="str">
        <f>VLOOKUP(Call_Center_Data[[#This Row],[Emp ID]], Employee[], 3, FALSE)</f>
        <v>Aurora, CO</v>
      </c>
      <c r="K281" t="str">
        <f>VLOOKUP(Call_Center_Data[[#This Row],[Emp ID]], Employee[], 4, FALSE)</f>
        <v>Pierce Mack</v>
      </c>
      <c r="L281" t="str">
        <f>VLOOKUP(Call_Center_Data[[#This Row],[Call Type ID]], Call_Type[], 2, FALSE)</f>
        <v>Billing</v>
      </c>
    </row>
    <row r="282" spans="1:12" x14ac:dyDescent="0.3">
      <c r="A282">
        <v>281</v>
      </c>
      <c r="B282">
        <v>1</v>
      </c>
      <c r="C282" s="1">
        <v>44875</v>
      </c>
      <c r="D282" s="2" t="s">
        <v>77</v>
      </c>
      <c r="E282">
        <v>0</v>
      </c>
      <c r="F282">
        <v>45</v>
      </c>
      <c r="G282">
        <v>117</v>
      </c>
      <c r="H282">
        <v>307</v>
      </c>
      <c r="I282" t="str">
        <f>VLOOKUP(Call_Center_Data[[#This Row],[Emp ID]],Employee[],2,FALSE)</f>
        <v>Sam Saab</v>
      </c>
      <c r="J282" t="str">
        <f>VLOOKUP(Call_Center_Data[[#This Row],[Emp ID]], Employee[], 3, FALSE)</f>
        <v>Aurora, CO</v>
      </c>
      <c r="K282" t="str">
        <f>VLOOKUP(Call_Center_Data[[#This Row],[Emp ID]], Employee[], 4, FALSE)</f>
        <v>Timmy Mack</v>
      </c>
      <c r="L282" t="str">
        <f>VLOOKUP(Call_Center_Data[[#This Row],[Call Type ID]], Call_Type[], 2, FALSE)</f>
        <v>Billing</v>
      </c>
    </row>
    <row r="283" spans="1:12" x14ac:dyDescent="0.3">
      <c r="A283">
        <v>282</v>
      </c>
      <c r="B283">
        <v>1</v>
      </c>
      <c r="C283" s="1">
        <v>44876</v>
      </c>
      <c r="D283" s="2" t="s">
        <v>81</v>
      </c>
      <c r="E283">
        <v>0</v>
      </c>
      <c r="F283">
        <v>19</v>
      </c>
      <c r="G283">
        <v>113</v>
      </c>
      <c r="H283">
        <v>151</v>
      </c>
      <c r="I283" t="str">
        <f>VLOOKUP(Call_Center_Data[[#This Row],[Emp ID]],Employee[],2,FALSE)</f>
        <v>Sam Simons</v>
      </c>
      <c r="J283" t="str">
        <f>VLOOKUP(Call_Center_Data[[#This Row],[Emp ID]], Employee[], 3, FALSE)</f>
        <v>Jacksonville, WA</v>
      </c>
      <c r="K283" t="str">
        <f>VLOOKUP(Call_Center_Data[[#This Row],[Emp ID]], Employee[], 4, FALSE)</f>
        <v>John Baas</v>
      </c>
      <c r="L283" t="str">
        <f>VLOOKUP(Call_Center_Data[[#This Row],[Call Type ID]], Call_Type[], 2, FALSE)</f>
        <v>Billing</v>
      </c>
    </row>
    <row r="284" spans="1:12" x14ac:dyDescent="0.3">
      <c r="A284">
        <v>283</v>
      </c>
      <c r="B284">
        <v>1</v>
      </c>
      <c r="C284" s="1">
        <v>44877</v>
      </c>
      <c r="D284" s="2" t="s">
        <v>74</v>
      </c>
      <c r="E284">
        <v>1</v>
      </c>
      <c r="F284">
        <v>20</v>
      </c>
      <c r="G284">
        <v>126</v>
      </c>
      <c r="H284">
        <v>111</v>
      </c>
      <c r="I284" t="str">
        <f>VLOOKUP(Call_Center_Data[[#This Row],[Emp ID]],Employee[],2,FALSE)</f>
        <v>Gina John</v>
      </c>
      <c r="J284" t="str">
        <f>VLOOKUP(Call_Center_Data[[#This Row],[Emp ID]], Employee[], 3, FALSE)</f>
        <v>Jacksonville, WA</v>
      </c>
      <c r="K284" t="str">
        <f>VLOOKUP(Call_Center_Data[[#This Row],[Emp ID]], Employee[], 4, FALSE)</f>
        <v>Henry Gill</v>
      </c>
      <c r="L284" t="str">
        <f>VLOOKUP(Call_Center_Data[[#This Row],[Call Type ID]], Call_Type[], 2, FALSE)</f>
        <v>Billing</v>
      </c>
    </row>
    <row r="285" spans="1:12" x14ac:dyDescent="0.3">
      <c r="A285">
        <v>284</v>
      </c>
      <c r="B285">
        <v>3</v>
      </c>
      <c r="C285" s="1">
        <v>44878</v>
      </c>
      <c r="D285" s="2" t="s">
        <v>77</v>
      </c>
      <c r="E285">
        <v>0</v>
      </c>
      <c r="F285">
        <v>18</v>
      </c>
      <c r="G285">
        <v>126</v>
      </c>
      <c r="H285">
        <v>151</v>
      </c>
      <c r="I285" t="str">
        <f>VLOOKUP(Call_Center_Data[[#This Row],[Emp ID]],Employee[],2,FALSE)</f>
        <v>Sam Saab</v>
      </c>
      <c r="J285" t="str">
        <f>VLOOKUP(Call_Center_Data[[#This Row],[Emp ID]], Employee[], 3, FALSE)</f>
        <v>Aurora, CO</v>
      </c>
      <c r="K285" t="str">
        <f>VLOOKUP(Call_Center_Data[[#This Row],[Emp ID]], Employee[], 4, FALSE)</f>
        <v>Timmy Mack</v>
      </c>
      <c r="L285" t="str">
        <f>VLOOKUP(Call_Center_Data[[#This Row],[Call Type ID]], Call_Type[], 2, FALSE)</f>
        <v>Tech Sup</v>
      </c>
    </row>
    <row r="286" spans="1:12" x14ac:dyDescent="0.3">
      <c r="A286">
        <v>285</v>
      </c>
      <c r="B286">
        <v>2</v>
      </c>
      <c r="C286" s="1">
        <v>44879</v>
      </c>
      <c r="D286" s="2" t="s">
        <v>85</v>
      </c>
      <c r="E286">
        <v>1</v>
      </c>
      <c r="F286">
        <v>13</v>
      </c>
      <c r="G286">
        <v>123</v>
      </c>
      <c r="H286">
        <v>106</v>
      </c>
      <c r="I286" t="str">
        <f>VLOOKUP(Call_Center_Data[[#This Row],[Emp ID]],Employee[],2,FALSE)</f>
        <v>Tina Gilder</v>
      </c>
      <c r="J286" t="str">
        <f>VLOOKUP(Call_Center_Data[[#This Row],[Emp ID]], Employee[], 3, FALSE)</f>
        <v>Spokane, WA</v>
      </c>
      <c r="K286" t="str">
        <f>VLOOKUP(Call_Center_Data[[#This Row],[Emp ID]], Employee[], 4, FALSE)</f>
        <v>Timmy Baas</v>
      </c>
      <c r="L286" t="str">
        <f>VLOOKUP(Call_Center_Data[[#This Row],[Call Type ID]], Call_Type[], 2, FALSE)</f>
        <v>Sales</v>
      </c>
    </row>
    <row r="287" spans="1:12" x14ac:dyDescent="0.3">
      <c r="A287">
        <v>286</v>
      </c>
      <c r="B287">
        <v>1</v>
      </c>
      <c r="C287" s="1">
        <v>44880</v>
      </c>
      <c r="D287" s="2" t="s">
        <v>64</v>
      </c>
      <c r="E287">
        <v>1</v>
      </c>
      <c r="F287">
        <v>20</v>
      </c>
      <c r="G287">
        <v>131</v>
      </c>
      <c r="H287">
        <v>276</v>
      </c>
      <c r="I287" t="str">
        <f>VLOOKUP(Call_Center_Data[[#This Row],[Emp ID]],Employee[],2,FALSE)</f>
        <v>Jill Simons</v>
      </c>
      <c r="J287" t="str">
        <f>VLOOKUP(Call_Center_Data[[#This Row],[Emp ID]], Employee[], 3, FALSE)</f>
        <v>Spokane, WA</v>
      </c>
      <c r="K287" t="str">
        <f>VLOOKUP(Call_Center_Data[[#This Row],[Emp ID]], Employee[], 4, FALSE)</f>
        <v>Jenny Rhodes</v>
      </c>
      <c r="L287" t="str">
        <f>VLOOKUP(Call_Center_Data[[#This Row],[Call Type ID]], Call_Type[], 2, FALSE)</f>
        <v>Billing</v>
      </c>
    </row>
    <row r="288" spans="1:12" x14ac:dyDescent="0.3">
      <c r="A288">
        <v>287</v>
      </c>
      <c r="B288">
        <v>2</v>
      </c>
      <c r="C288" s="1">
        <v>44881</v>
      </c>
      <c r="D288" s="2" t="s">
        <v>83</v>
      </c>
      <c r="E288">
        <v>0</v>
      </c>
      <c r="F288">
        <v>25</v>
      </c>
      <c r="G288">
        <v>135</v>
      </c>
      <c r="H288">
        <v>333</v>
      </c>
      <c r="I288" t="str">
        <f>VLOOKUP(Call_Center_Data[[#This Row],[Emp ID]],Employee[],2,FALSE)</f>
        <v>Ultor Simons</v>
      </c>
      <c r="J288" t="str">
        <f>VLOOKUP(Call_Center_Data[[#This Row],[Emp ID]], Employee[], 3, FALSE)</f>
        <v>Jacksonville, WA</v>
      </c>
      <c r="K288" t="str">
        <f>VLOOKUP(Call_Center_Data[[#This Row],[Emp ID]], Employee[], 4, FALSE)</f>
        <v>Pierce Hall</v>
      </c>
      <c r="L288" t="str">
        <f>VLOOKUP(Call_Center_Data[[#This Row],[Call Type ID]], Call_Type[], 2, FALSE)</f>
        <v>Sales</v>
      </c>
    </row>
    <row r="289" spans="1:12" x14ac:dyDescent="0.3">
      <c r="A289">
        <v>288</v>
      </c>
      <c r="B289">
        <v>2</v>
      </c>
      <c r="C289" s="1">
        <v>44882</v>
      </c>
      <c r="D289" s="2" t="s">
        <v>76</v>
      </c>
      <c r="E289">
        <v>0</v>
      </c>
      <c r="F289">
        <v>15</v>
      </c>
      <c r="G289">
        <v>135</v>
      </c>
      <c r="H289">
        <v>132</v>
      </c>
      <c r="I289" t="str">
        <f>VLOOKUP(Call_Center_Data[[#This Row],[Emp ID]],Employee[],2,FALSE)</f>
        <v>Ultor Saab</v>
      </c>
      <c r="J289" t="str">
        <f>VLOOKUP(Call_Center_Data[[#This Row],[Emp ID]], Employee[], 3, FALSE)</f>
        <v>Aurora, CO</v>
      </c>
      <c r="K289" t="str">
        <f>VLOOKUP(Call_Center_Data[[#This Row],[Emp ID]], Employee[], 4, FALSE)</f>
        <v>Pierce Baas</v>
      </c>
      <c r="L289" t="str">
        <f>VLOOKUP(Call_Center_Data[[#This Row],[Call Type ID]], Call_Type[], 2, FALSE)</f>
        <v>Sales</v>
      </c>
    </row>
    <row r="290" spans="1:12" x14ac:dyDescent="0.3">
      <c r="A290">
        <v>289</v>
      </c>
      <c r="B290">
        <v>3</v>
      </c>
      <c r="C290" s="1">
        <v>44883</v>
      </c>
      <c r="D290" s="2" t="s">
        <v>87</v>
      </c>
      <c r="E290">
        <v>0</v>
      </c>
      <c r="F290">
        <v>19</v>
      </c>
      <c r="G290">
        <v>135</v>
      </c>
      <c r="H290">
        <v>275</v>
      </c>
      <c r="I290" t="str">
        <f>VLOOKUP(Call_Center_Data[[#This Row],[Emp ID]],Employee[],2,FALSE)</f>
        <v>Gina Saab</v>
      </c>
      <c r="J290" t="str">
        <f>VLOOKUP(Call_Center_Data[[#This Row],[Emp ID]], Employee[], 3, FALSE)</f>
        <v>Jacksonville, WA</v>
      </c>
      <c r="K290" t="str">
        <f>VLOOKUP(Call_Center_Data[[#This Row],[Emp ID]], Employee[], 4, FALSE)</f>
        <v>Jenny Gill</v>
      </c>
      <c r="L290" t="str">
        <f>VLOOKUP(Call_Center_Data[[#This Row],[Call Type ID]], Call_Type[], 2, FALSE)</f>
        <v>Tech Sup</v>
      </c>
    </row>
    <row r="291" spans="1:12" x14ac:dyDescent="0.3">
      <c r="A291">
        <v>290</v>
      </c>
      <c r="B291">
        <v>1</v>
      </c>
      <c r="C291" s="1">
        <v>44884</v>
      </c>
      <c r="D291" s="2" t="s">
        <v>84</v>
      </c>
      <c r="E291">
        <v>0</v>
      </c>
      <c r="F291">
        <v>19</v>
      </c>
      <c r="G291">
        <v>144</v>
      </c>
      <c r="H291">
        <v>204</v>
      </c>
      <c r="I291" t="str">
        <f>VLOOKUP(Call_Center_Data[[#This Row],[Emp ID]],Employee[],2,FALSE)</f>
        <v>Sam John</v>
      </c>
      <c r="J291" t="str">
        <f>VLOOKUP(Call_Center_Data[[#This Row],[Emp ID]], Employee[], 3, FALSE)</f>
        <v>Aurora, CO</v>
      </c>
      <c r="K291" t="str">
        <f>VLOOKUP(Call_Center_Data[[#This Row],[Emp ID]], Employee[], 4, FALSE)</f>
        <v>Jenny Mack</v>
      </c>
      <c r="L291" t="str">
        <f>VLOOKUP(Call_Center_Data[[#This Row],[Call Type ID]], Call_Type[], 2, FALSE)</f>
        <v>Billing</v>
      </c>
    </row>
    <row r="292" spans="1:12" x14ac:dyDescent="0.3">
      <c r="A292">
        <v>291</v>
      </c>
      <c r="B292">
        <v>1</v>
      </c>
      <c r="C292" s="1">
        <v>44885</v>
      </c>
      <c r="D292" s="2" t="s">
        <v>65</v>
      </c>
      <c r="E292">
        <v>1</v>
      </c>
      <c r="F292">
        <v>26</v>
      </c>
      <c r="G292">
        <v>143</v>
      </c>
      <c r="H292">
        <v>195</v>
      </c>
      <c r="I292" t="str">
        <f>VLOOKUP(Call_Center_Data[[#This Row],[Emp ID]],Employee[],2,FALSE)</f>
        <v>Ultor John</v>
      </c>
      <c r="J292" t="str">
        <f>VLOOKUP(Call_Center_Data[[#This Row],[Emp ID]], Employee[], 3, FALSE)</f>
        <v>Spokane, WA</v>
      </c>
      <c r="K292" t="str">
        <f>VLOOKUP(Call_Center_Data[[#This Row],[Emp ID]], Employee[], 4, FALSE)</f>
        <v>John Mack</v>
      </c>
      <c r="L292" t="str">
        <f>VLOOKUP(Call_Center_Data[[#This Row],[Call Type ID]], Call_Type[], 2, FALSE)</f>
        <v>Billing</v>
      </c>
    </row>
    <row r="293" spans="1:12" x14ac:dyDescent="0.3">
      <c r="A293">
        <v>292</v>
      </c>
      <c r="B293">
        <v>1</v>
      </c>
      <c r="C293" s="1">
        <v>44886</v>
      </c>
      <c r="D293" s="2" t="s">
        <v>79</v>
      </c>
      <c r="E293">
        <v>1</v>
      </c>
      <c r="F293">
        <v>29</v>
      </c>
      <c r="G293">
        <v>136</v>
      </c>
      <c r="H293">
        <v>114</v>
      </c>
      <c r="I293" t="str">
        <f>VLOOKUP(Call_Center_Data[[#This Row],[Emp ID]],Employee[],2,FALSE)</f>
        <v>Gina Simons</v>
      </c>
      <c r="J293" t="str">
        <f>VLOOKUP(Call_Center_Data[[#This Row],[Emp ID]], Employee[], 3, FALSE)</f>
        <v>Spokane, WA</v>
      </c>
      <c r="K293" t="str">
        <f>VLOOKUP(Call_Center_Data[[#This Row],[Emp ID]], Employee[], 4, FALSE)</f>
        <v>John Rhodes</v>
      </c>
      <c r="L293" t="str">
        <f>VLOOKUP(Call_Center_Data[[#This Row],[Call Type ID]], Call_Type[], 2, FALSE)</f>
        <v>Billing</v>
      </c>
    </row>
    <row r="294" spans="1:12" x14ac:dyDescent="0.3">
      <c r="A294">
        <v>293</v>
      </c>
      <c r="B294">
        <v>2</v>
      </c>
      <c r="C294" s="1">
        <v>44887</v>
      </c>
      <c r="D294" s="2" t="s">
        <v>65</v>
      </c>
      <c r="E294">
        <v>0</v>
      </c>
      <c r="F294">
        <v>41</v>
      </c>
      <c r="G294">
        <v>140</v>
      </c>
      <c r="H294">
        <v>430</v>
      </c>
      <c r="I294" t="str">
        <f>VLOOKUP(Call_Center_Data[[#This Row],[Emp ID]],Employee[],2,FALSE)</f>
        <v>Ultor John</v>
      </c>
      <c r="J294" t="str">
        <f>VLOOKUP(Call_Center_Data[[#This Row],[Emp ID]], Employee[], 3, FALSE)</f>
        <v>Spokane, WA</v>
      </c>
      <c r="K294" t="str">
        <f>VLOOKUP(Call_Center_Data[[#This Row],[Emp ID]], Employee[], 4, FALSE)</f>
        <v>John Mack</v>
      </c>
      <c r="L294" t="str">
        <f>VLOOKUP(Call_Center_Data[[#This Row],[Call Type ID]], Call_Type[], 2, FALSE)</f>
        <v>Sales</v>
      </c>
    </row>
    <row r="295" spans="1:12" x14ac:dyDescent="0.3">
      <c r="A295">
        <v>294</v>
      </c>
      <c r="B295">
        <v>2</v>
      </c>
      <c r="C295" s="1">
        <v>44888</v>
      </c>
      <c r="D295" s="2" t="s">
        <v>80</v>
      </c>
      <c r="E295">
        <v>0</v>
      </c>
      <c r="F295">
        <v>21</v>
      </c>
      <c r="G295">
        <v>139</v>
      </c>
      <c r="H295">
        <v>110</v>
      </c>
      <c r="I295" t="str">
        <f>VLOOKUP(Call_Center_Data[[#This Row],[Emp ID]],Employee[],2,FALSE)</f>
        <v>Tina Simons</v>
      </c>
      <c r="J295" t="str">
        <f>VLOOKUP(Call_Center_Data[[#This Row],[Emp ID]], Employee[], 3, FALSE)</f>
        <v>Aurora, CO</v>
      </c>
      <c r="K295" t="str">
        <f>VLOOKUP(Call_Center_Data[[#This Row],[Emp ID]], Employee[], 4, FALSE)</f>
        <v>Pierce Gill</v>
      </c>
      <c r="L295" t="str">
        <f>VLOOKUP(Call_Center_Data[[#This Row],[Call Type ID]], Call_Type[], 2, FALSE)</f>
        <v>Sales</v>
      </c>
    </row>
    <row r="296" spans="1:12" x14ac:dyDescent="0.3">
      <c r="A296">
        <v>295</v>
      </c>
      <c r="B296">
        <v>3</v>
      </c>
      <c r="C296" s="1">
        <v>44889</v>
      </c>
      <c r="D296" s="2" t="s">
        <v>70</v>
      </c>
      <c r="E296">
        <v>0</v>
      </c>
      <c r="F296">
        <v>18</v>
      </c>
      <c r="G296">
        <v>133</v>
      </c>
      <c r="H296">
        <v>134</v>
      </c>
      <c r="I296" t="str">
        <f>VLOOKUP(Call_Center_Data[[#This Row],[Emp ID]],Employee[],2,FALSE)</f>
        <v>Jill Pat</v>
      </c>
      <c r="J296" t="str">
        <f>VLOOKUP(Call_Center_Data[[#This Row],[Emp ID]], Employee[], 3, FALSE)</f>
        <v>Aurora, CO</v>
      </c>
      <c r="K296" t="str">
        <f>VLOOKUP(Call_Center_Data[[#This Row],[Emp ID]], Employee[], 4, FALSE)</f>
        <v>Henry Rhodes</v>
      </c>
      <c r="L296" t="str">
        <f>VLOOKUP(Call_Center_Data[[#This Row],[Call Type ID]], Call_Type[], 2, FALSE)</f>
        <v>Tech Sup</v>
      </c>
    </row>
    <row r="297" spans="1:12" x14ac:dyDescent="0.3">
      <c r="A297">
        <v>296</v>
      </c>
      <c r="B297">
        <v>3</v>
      </c>
      <c r="C297" s="1">
        <v>44890</v>
      </c>
      <c r="D297" s="2" t="s">
        <v>79</v>
      </c>
      <c r="E297">
        <v>0</v>
      </c>
      <c r="F297">
        <v>17</v>
      </c>
      <c r="G297">
        <v>143</v>
      </c>
      <c r="H297">
        <v>117</v>
      </c>
      <c r="I297" t="str">
        <f>VLOOKUP(Call_Center_Data[[#This Row],[Emp ID]],Employee[],2,FALSE)</f>
        <v>Gina Simons</v>
      </c>
      <c r="J297" t="str">
        <f>VLOOKUP(Call_Center_Data[[#This Row],[Emp ID]], Employee[], 3, FALSE)</f>
        <v>Spokane, WA</v>
      </c>
      <c r="K297" t="str">
        <f>VLOOKUP(Call_Center_Data[[#This Row],[Emp ID]], Employee[], 4, FALSE)</f>
        <v>John Rhodes</v>
      </c>
      <c r="L297" t="str">
        <f>VLOOKUP(Call_Center_Data[[#This Row],[Call Type ID]], Call_Type[], 2, FALSE)</f>
        <v>Tech Sup</v>
      </c>
    </row>
    <row r="298" spans="1:12" x14ac:dyDescent="0.3">
      <c r="A298">
        <v>297</v>
      </c>
      <c r="B298">
        <v>3</v>
      </c>
      <c r="C298" s="1">
        <v>44891</v>
      </c>
      <c r="D298" s="2" t="s">
        <v>75</v>
      </c>
      <c r="E298">
        <v>0</v>
      </c>
      <c r="F298">
        <v>30</v>
      </c>
      <c r="G298">
        <v>137</v>
      </c>
      <c r="H298">
        <v>386</v>
      </c>
      <c r="I298" t="str">
        <f>VLOOKUP(Call_Center_Data[[#This Row],[Emp ID]],Employee[],2,FALSE)</f>
        <v>Gina Pat</v>
      </c>
      <c r="J298" t="str">
        <f>VLOOKUP(Call_Center_Data[[#This Row],[Emp ID]], Employee[], 3, FALSE)</f>
        <v>Spokane, WA</v>
      </c>
      <c r="K298" t="str">
        <f>VLOOKUP(Call_Center_Data[[#This Row],[Emp ID]], Employee[], 4, FALSE)</f>
        <v>Henry Hall</v>
      </c>
      <c r="L298" t="str">
        <f>VLOOKUP(Call_Center_Data[[#This Row],[Call Type ID]], Call_Type[], 2, FALSE)</f>
        <v>Tech Sup</v>
      </c>
    </row>
    <row r="299" spans="1:12" x14ac:dyDescent="0.3">
      <c r="A299">
        <v>298</v>
      </c>
      <c r="B299">
        <v>3</v>
      </c>
      <c r="C299" s="1">
        <v>44892</v>
      </c>
      <c r="D299" s="2" t="s">
        <v>76</v>
      </c>
      <c r="E299">
        <v>0</v>
      </c>
      <c r="F299">
        <v>30</v>
      </c>
      <c r="G299">
        <v>138</v>
      </c>
      <c r="H299">
        <v>220</v>
      </c>
      <c r="I299" t="str">
        <f>VLOOKUP(Call_Center_Data[[#This Row],[Emp ID]],Employee[],2,FALSE)</f>
        <v>Ultor Saab</v>
      </c>
      <c r="J299" t="str">
        <f>VLOOKUP(Call_Center_Data[[#This Row],[Emp ID]], Employee[], 3, FALSE)</f>
        <v>Aurora, CO</v>
      </c>
      <c r="K299" t="str">
        <f>VLOOKUP(Call_Center_Data[[#This Row],[Emp ID]], Employee[], 4, FALSE)</f>
        <v>Pierce Baas</v>
      </c>
      <c r="L299" t="str">
        <f>VLOOKUP(Call_Center_Data[[#This Row],[Call Type ID]], Call_Type[], 2, FALSE)</f>
        <v>Tech Sup</v>
      </c>
    </row>
    <row r="300" spans="1:12" x14ac:dyDescent="0.3">
      <c r="A300">
        <v>299</v>
      </c>
      <c r="B300">
        <v>1</v>
      </c>
      <c r="C300" s="1">
        <v>44893</v>
      </c>
      <c r="D300" s="2" t="s">
        <v>79</v>
      </c>
      <c r="E300">
        <v>1</v>
      </c>
      <c r="F300">
        <v>26</v>
      </c>
      <c r="G300">
        <v>131</v>
      </c>
      <c r="H300">
        <v>113</v>
      </c>
      <c r="I300" t="str">
        <f>VLOOKUP(Call_Center_Data[[#This Row],[Emp ID]],Employee[],2,FALSE)</f>
        <v>Gina Simons</v>
      </c>
      <c r="J300" t="str">
        <f>VLOOKUP(Call_Center_Data[[#This Row],[Emp ID]], Employee[], 3, FALSE)</f>
        <v>Spokane, WA</v>
      </c>
      <c r="K300" t="str">
        <f>VLOOKUP(Call_Center_Data[[#This Row],[Emp ID]], Employee[], 4, FALSE)</f>
        <v>John Rhodes</v>
      </c>
      <c r="L300" t="str">
        <f>VLOOKUP(Call_Center_Data[[#This Row],[Call Type ID]], Call_Type[], 2, FALSE)</f>
        <v>Billing</v>
      </c>
    </row>
    <row r="301" spans="1:12" x14ac:dyDescent="0.3">
      <c r="A301">
        <v>300</v>
      </c>
      <c r="B301">
        <v>2</v>
      </c>
      <c r="C301" s="1">
        <v>44894</v>
      </c>
      <c r="D301" s="2" t="s">
        <v>85</v>
      </c>
      <c r="E301">
        <v>0</v>
      </c>
      <c r="F301">
        <v>23</v>
      </c>
      <c r="G301">
        <v>125</v>
      </c>
      <c r="H301">
        <v>167</v>
      </c>
      <c r="I301" t="str">
        <f>VLOOKUP(Call_Center_Data[[#This Row],[Emp ID]],Employee[],2,FALSE)</f>
        <v>Tina Gilder</v>
      </c>
      <c r="J301" t="str">
        <f>VLOOKUP(Call_Center_Data[[#This Row],[Emp ID]], Employee[], 3, FALSE)</f>
        <v>Spokane, WA</v>
      </c>
      <c r="K301" t="str">
        <f>VLOOKUP(Call_Center_Data[[#This Row],[Emp ID]], Employee[], 4, FALSE)</f>
        <v>Timmy Baas</v>
      </c>
      <c r="L301" t="str">
        <f>VLOOKUP(Call_Center_Data[[#This Row],[Call Type ID]], Call_Type[], 2, FALSE)</f>
        <v>Sales</v>
      </c>
    </row>
    <row r="302" spans="1:12" x14ac:dyDescent="0.3">
      <c r="A302">
        <v>301</v>
      </c>
      <c r="B302">
        <v>2</v>
      </c>
      <c r="C302" s="1">
        <v>44895</v>
      </c>
      <c r="D302" s="2" t="s">
        <v>71</v>
      </c>
      <c r="E302">
        <v>0</v>
      </c>
      <c r="F302">
        <v>20</v>
      </c>
      <c r="G302">
        <v>95</v>
      </c>
      <c r="H302">
        <v>173</v>
      </c>
      <c r="I302" t="str">
        <f>VLOOKUP(Call_Center_Data[[#This Row],[Emp ID]],Employee[],2,FALSE)</f>
        <v>Sam Pat</v>
      </c>
      <c r="J302" t="str">
        <f>VLOOKUP(Call_Center_Data[[#This Row],[Emp ID]], Employee[], 3, FALSE)</f>
        <v>Aurora, CO</v>
      </c>
      <c r="K302" t="str">
        <f>VLOOKUP(Call_Center_Data[[#This Row],[Emp ID]], Employee[], 4, FALSE)</f>
        <v>Henry Mack</v>
      </c>
      <c r="L302" t="str">
        <f>VLOOKUP(Call_Center_Data[[#This Row],[Call Type ID]], Call_Type[], 2, FALSE)</f>
        <v>Sales</v>
      </c>
    </row>
    <row r="303" spans="1:12" x14ac:dyDescent="0.3">
      <c r="A303">
        <v>302</v>
      </c>
      <c r="B303">
        <v>2</v>
      </c>
      <c r="C303" s="1">
        <v>44896</v>
      </c>
      <c r="D303" s="2" t="s">
        <v>75</v>
      </c>
      <c r="E303">
        <v>0</v>
      </c>
      <c r="F303">
        <v>25</v>
      </c>
      <c r="G303">
        <v>134</v>
      </c>
      <c r="H303">
        <v>324</v>
      </c>
      <c r="I303" t="str">
        <f>VLOOKUP(Call_Center_Data[[#This Row],[Emp ID]],Employee[],2,FALSE)</f>
        <v>Gina Pat</v>
      </c>
      <c r="J303" t="str">
        <f>VLOOKUP(Call_Center_Data[[#This Row],[Emp ID]], Employee[], 3, FALSE)</f>
        <v>Spokane, WA</v>
      </c>
      <c r="K303" t="str">
        <f>VLOOKUP(Call_Center_Data[[#This Row],[Emp ID]], Employee[], 4, FALSE)</f>
        <v>Henry Hall</v>
      </c>
      <c r="L303" t="str">
        <f>VLOOKUP(Call_Center_Data[[#This Row],[Call Type ID]], Call_Type[], 2, FALSE)</f>
        <v>Sales</v>
      </c>
    </row>
    <row r="304" spans="1:12" x14ac:dyDescent="0.3">
      <c r="A304">
        <v>303</v>
      </c>
      <c r="B304">
        <v>2</v>
      </c>
      <c r="C304" s="1">
        <v>44897</v>
      </c>
      <c r="D304" s="2" t="s">
        <v>77</v>
      </c>
      <c r="E304">
        <v>1</v>
      </c>
      <c r="F304">
        <v>26</v>
      </c>
      <c r="G304">
        <v>134</v>
      </c>
      <c r="H304">
        <v>85</v>
      </c>
      <c r="I304" t="str">
        <f>VLOOKUP(Call_Center_Data[[#This Row],[Emp ID]],Employee[],2,FALSE)</f>
        <v>Sam Saab</v>
      </c>
      <c r="J304" t="str">
        <f>VLOOKUP(Call_Center_Data[[#This Row],[Emp ID]], Employee[], 3, FALSE)</f>
        <v>Aurora, CO</v>
      </c>
      <c r="K304" t="str">
        <f>VLOOKUP(Call_Center_Data[[#This Row],[Emp ID]], Employee[], 4, FALSE)</f>
        <v>Timmy Mack</v>
      </c>
      <c r="L304" t="str">
        <f>VLOOKUP(Call_Center_Data[[#This Row],[Call Type ID]], Call_Type[], 2, FALSE)</f>
        <v>Sales</v>
      </c>
    </row>
    <row r="305" spans="1:12" x14ac:dyDescent="0.3">
      <c r="A305">
        <v>304</v>
      </c>
      <c r="B305">
        <v>2</v>
      </c>
      <c r="C305" s="1">
        <v>44898</v>
      </c>
      <c r="D305" s="2" t="s">
        <v>77</v>
      </c>
      <c r="E305">
        <v>0</v>
      </c>
      <c r="F305">
        <v>26</v>
      </c>
      <c r="G305">
        <v>135</v>
      </c>
      <c r="H305">
        <v>195</v>
      </c>
      <c r="I305" t="str">
        <f>VLOOKUP(Call_Center_Data[[#This Row],[Emp ID]],Employee[],2,FALSE)</f>
        <v>Sam Saab</v>
      </c>
      <c r="J305" t="str">
        <f>VLOOKUP(Call_Center_Data[[#This Row],[Emp ID]], Employee[], 3, FALSE)</f>
        <v>Aurora, CO</v>
      </c>
      <c r="K305" t="str">
        <f>VLOOKUP(Call_Center_Data[[#This Row],[Emp ID]], Employee[], 4, FALSE)</f>
        <v>Timmy Mack</v>
      </c>
      <c r="L305" t="str">
        <f>VLOOKUP(Call_Center_Data[[#This Row],[Call Type ID]], Call_Type[], 2, FALSE)</f>
        <v>Sales</v>
      </c>
    </row>
    <row r="306" spans="1:12" x14ac:dyDescent="0.3">
      <c r="A306">
        <v>305</v>
      </c>
      <c r="B306">
        <v>1</v>
      </c>
      <c r="C306" s="1">
        <v>44899</v>
      </c>
      <c r="D306" s="2" t="s">
        <v>81</v>
      </c>
      <c r="E306">
        <v>0</v>
      </c>
      <c r="F306">
        <v>33</v>
      </c>
      <c r="G306">
        <v>139</v>
      </c>
      <c r="H306">
        <v>178</v>
      </c>
      <c r="I306" t="str">
        <f>VLOOKUP(Call_Center_Data[[#This Row],[Emp ID]],Employee[],2,FALSE)</f>
        <v>Sam Simons</v>
      </c>
      <c r="J306" t="str">
        <f>VLOOKUP(Call_Center_Data[[#This Row],[Emp ID]], Employee[], 3, FALSE)</f>
        <v>Jacksonville, WA</v>
      </c>
      <c r="K306" t="str">
        <f>VLOOKUP(Call_Center_Data[[#This Row],[Emp ID]], Employee[], 4, FALSE)</f>
        <v>John Baas</v>
      </c>
      <c r="L306" t="str">
        <f>VLOOKUP(Call_Center_Data[[#This Row],[Call Type ID]], Call_Type[], 2, FALSE)</f>
        <v>Billing</v>
      </c>
    </row>
    <row r="307" spans="1:12" x14ac:dyDescent="0.3">
      <c r="A307">
        <v>306</v>
      </c>
      <c r="B307">
        <v>1</v>
      </c>
      <c r="C307" s="1">
        <v>44900</v>
      </c>
      <c r="D307" s="2" t="s">
        <v>66</v>
      </c>
      <c r="E307">
        <v>0</v>
      </c>
      <c r="F307">
        <v>19</v>
      </c>
      <c r="G307">
        <v>113</v>
      </c>
      <c r="H307">
        <v>112</v>
      </c>
      <c r="I307" t="str">
        <f>VLOOKUP(Call_Center_Data[[#This Row],[Emp ID]],Employee[],2,FALSE)</f>
        <v>Tina John</v>
      </c>
      <c r="J307" t="str">
        <f>VLOOKUP(Call_Center_Data[[#This Row],[Emp ID]], Employee[], 3, FALSE)</f>
        <v>Aurora, CO</v>
      </c>
      <c r="K307" t="str">
        <f>VLOOKUP(Call_Center_Data[[#This Row],[Emp ID]], Employee[], 4, FALSE)</f>
        <v>Timmy Rhodes</v>
      </c>
      <c r="L307" t="str">
        <f>VLOOKUP(Call_Center_Data[[#This Row],[Call Type ID]], Call_Type[], 2, FALSE)</f>
        <v>Billing</v>
      </c>
    </row>
    <row r="308" spans="1:12" x14ac:dyDescent="0.3">
      <c r="A308">
        <v>307</v>
      </c>
      <c r="B308">
        <v>1</v>
      </c>
      <c r="C308" s="1">
        <v>44901</v>
      </c>
      <c r="D308" s="2" t="s">
        <v>76</v>
      </c>
      <c r="E308">
        <v>0</v>
      </c>
      <c r="F308">
        <v>29</v>
      </c>
      <c r="G308">
        <v>128</v>
      </c>
      <c r="H308">
        <v>247</v>
      </c>
      <c r="I308" t="str">
        <f>VLOOKUP(Call_Center_Data[[#This Row],[Emp ID]],Employee[],2,FALSE)</f>
        <v>Ultor Saab</v>
      </c>
      <c r="J308" t="str">
        <f>VLOOKUP(Call_Center_Data[[#This Row],[Emp ID]], Employee[], 3, FALSE)</f>
        <v>Aurora, CO</v>
      </c>
      <c r="K308" t="str">
        <f>VLOOKUP(Call_Center_Data[[#This Row],[Emp ID]], Employee[], 4, FALSE)</f>
        <v>Pierce Baas</v>
      </c>
      <c r="L308" t="str">
        <f>VLOOKUP(Call_Center_Data[[#This Row],[Call Type ID]], Call_Type[], 2, FALSE)</f>
        <v>Billing</v>
      </c>
    </row>
    <row r="309" spans="1:12" x14ac:dyDescent="0.3">
      <c r="A309">
        <v>308</v>
      </c>
      <c r="B309">
        <v>1</v>
      </c>
      <c r="C309" s="1">
        <v>44902</v>
      </c>
      <c r="D309" s="2" t="s">
        <v>68</v>
      </c>
      <c r="E309">
        <v>0</v>
      </c>
      <c r="F309">
        <v>29</v>
      </c>
      <c r="G309">
        <v>143</v>
      </c>
      <c r="H309">
        <v>221</v>
      </c>
      <c r="I309" t="str">
        <f>VLOOKUP(Call_Center_Data[[#This Row],[Emp ID]],Employee[],2,FALSE)</f>
        <v>Tina Saab</v>
      </c>
      <c r="J309" t="str">
        <f>VLOOKUP(Call_Center_Data[[#This Row],[Emp ID]], Employee[], 3, FALSE)</f>
        <v>Spokane, WA</v>
      </c>
      <c r="K309" t="str">
        <f>VLOOKUP(Call_Center_Data[[#This Row],[Emp ID]], Employee[], 4, FALSE)</f>
        <v>Henry Baas</v>
      </c>
      <c r="L309" t="str">
        <f>VLOOKUP(Call_Center_Data[[#This Row],[Call Type ID]], Call_Type[], 2, FALSE)</f>
        <v>Billing</v>
      </c>
    </row>
    <row r="310" spans="1:12" x14ac:dyDescent="0.3">
      <c r="A310">
        <v>309</v>
      </c>
      <c r="B310">
        <v>1</v>
      </c>
      <c r="C310" s="1">
        <v>44903</v>
      </c>
      <c r="D310" s="2" t="s">
        <v>65</v>
      </c>
      <c r="E310">
        <v>0</v>
      </c>
      <c r="F310">
        <v>28</v>
      </c>
      <c r="G310">
        <v>141</v>
      </c>
      <c r="H310">
        <v>411</v>
      </c>
      <c r="I310" t="str">
        <f>VLOOKUP(Call_Center_Data[[#This Row],[Emp ID]],Employee[],2,FALSE)</f>
        <v>Ultor John</v>
      </c>
      <c r="J310" t="str">
        <f>VLOOKUP(Call_Center_Data[[#This Row],[Emp ID]], Employee[], 3, FALSE)</f>
        <v>Spokane, WA</v>
      </c>
      <c r="K310" t="str">
        <f>VLOOKUP(Call_Center_Data[[#This Row],[Emp ID]], Employee[], 4, FALSE)</f>
        <v>John Mack</v>
      </c>
      <c r="L310" t="str">
        <f>VLOOKUP(Call_Center_Data[[#This Row],[Call Type ID]], Call_Type[], 2, FALSE)</f>
        <v>Billing</v>
      </c>
    </row>
    <row r="311" spans="1:12" x14ac:dyDescent="0.3">
      <c r="A311">
        <v>310</v>
      </c>
      <c r="B311">
        <v>3</v>
      </c>
      <c r="C311" s="1">
        <v>44904</v>
      </c>
      <c r="D311" s="2" t="s">
        <v>77</v>
      </c>
      <c r="E311">
        <v>0</v>
      </c>
      <c r="F311">
        <v>18</v>
      </c>
      <c r="G311">
        <v>134</v>
      </c>
      <c r="H311">
        <v>128</v>
      </c>
      <c r="I311" t="str">
        <f>VLOOKUP(Call_Center_Data[[#This Row],[Emp ID]],Employee[],2,FALSE)</f>
        <v>Sam Saab</v>
      </c>
      <c r="J311" t="str">
        <f>VLOOKUP(Call_Center_Data[[#This Row],[Emp ID]], Employee[], 3, FALSE)</f>
        <v>Aurora, CO</v>
      </c>
      <c r="K311" t="str">
        <f>VLOOKUP(Call_Center_Data[[#This Row],[Emp ID]], Employee[], 4, FALSE)</f>
        <v>Timmy Mack</v>
      </c>
      <c r="L311" t="str">
        <f>VLOOKUP(Call_Center_Data[[#This Row],[Call Type ID]], Call_Type[], 2, FALSE)</f>
        <v>Tech Sup</v>
      </c>
    </row>
    <row r="312" spans="1:12" x14ac:dyDescent="0.3">
      <c r="A312">
        <v>311</v>
      </c>
      <c r="B312">
        <v>3</v>
      </c>
      <c r="C312" s="1">
        <v>44905</v>
      </c>
      <c r="D312" s="2" t="s">
        <v>73</v>
      </c>
      <c r="E312">
        <v>0</v>
      </c>
      <c r="F312">
        <v>16</v>
      </c>
      <c r="G312">
        <v>139</v>
      </c>
      <c r="H312">
        <v>102</v>
      </c>
      <c r="I312" t="str">
        <f>VLOOKUP(Call_Center_Data[[#This Row],[Emp ID]],Employee[],2,FALSE)</f>
        <v>Jill John</v>
      </c>
      <c r="J312" t="str">
        <f>VLOOKUP(Call_Center_Data[[#This Row],[Emp ID]], Employee[], 3, FALSE)</f>
        <v>Spokane, WA</v>
      </c>
      <c r="K312" t="str">
        <f>VLOOKUP(Call_Center_Data[[#This Row],[Emp ID]], Employee[], 4, FALSE)</f>
        <v>John Gill</v>
      </c>
      <c r="L312" t="str">
        <f>VLOOKUP(Call_Center_Data[[#This Row],[Call Type ID]], Call_Type[], 2, FALSE)</f>
        <v>Tech Sup</v>
      </c>
    </row>
    <row r="313" spans="1:12" x14ac:dyDescent="0.3">
      <c r="A313">
        <v>312</v>
      </c>
      <c r="B313">
        <v>1</v>
      </c>
      <c r="C313" s="1">
        <v>44906</v>
      </c>
      <c r="D313" s="2" t="s">
        <v>85</v>
      </c>
      <c r="E313">
        <v>1</v>
      </c>
      <c r="F313">
        <v>8</v>
      </c>
      <c r="G313">
        <v>126</v>
      </c>
      <c r="H313">
        <v>121</v>
      </c>
      <c r="I313" t="str">
        <f>VLOOKUP(Call_Center_Data[[#This Row],[Emp ID]],Employee[],2,FALSE)</f>
        <v>Tina Gilder</v>
      </c>
      <c r="J313" t="str">
        <f>VLOOKUP(Call_Center_Data[[#This Row],[Emp ID]], Employee[], 3, FALSE)</f>
        <v>Spokane, WA</v>
      </c>
      <c r="K313" t="str">
        <f>VLOOKUP(Call_Center_Data[[#This Row],[Emp ID]], Employee[], 4, FALSE)</f>
        <v>Timmy Baas</v>
      </c>
      <c r="L313" t="str">
        <f>VLOOKUP(Call_Center_Data[[#This Row],[Call Type ID]], Call_Type[], 2, FALSE)</f>
        <v>Billing</v>
      </c>
    </row>
    <row r="314" spans="1:12" x14ac:dyDescent="0.3">
      <c r="A314">
        <v>313</v>
      </c>
      <c r="B314">
        <v>1</v>
      </c>
      <c r="C314" s="1">
        <v>44907</v>
      </c>
      <c r="D314" s="2" t="s">
        <v>71</v>
      </c>
      <c r="E314">
        <v>0</v>
      </c>
      <c r="F314">
        <v>11</v>
      </c>
      <c r="G314">
        <v>142</v>
      </c>
      <c r="H314">
        <v>116</v>
      </c>
      <c r="I314" t="str">
        <f>VLOOKUP(Call_Center_Data[[#This Row],[Emp ID]],Employee[],2,FALSE)</f>
        <v>Sam Pat</v>
      </c>
      <c r="J314" t="str">
        <f>VLOOKUP(Call_Center_Data[[#This Row],[Emp ID]], Employee[], 3, FALSE)</f>
        <v>Aurora, CO</v>
      </c>
      <c r="K314" t="str">
        <f>VLOOKUP(Call_Center_Data[[#This Row],[Emp ID]], Employee[], 4, FALSE)</f>
        <v>Henry Mack</v>
      </c>
      <c r="L314" t="str">
        <f>VLOOKUP(Call_Center_Data[[#This Row],[Call Type ID]], Call_Type[], 2, FALSE)</f>
        <v>Billing</v>
      </c>
    </row>
    <row r="315" spans="1:12" x14ac:dyDescent="0.3">
      <c r="A315">
        <v>314</v>
      </c>
      <c r="B315">
        <v>3</v>
      </c>
      <c r="C315" s="1">
        <v>44908</v>
      </c>
      <c r="D315" s="2" t="s">
        <v>79</v>
      </c>
      <c r="E315">
        <v>0</v>
      </c>
      <c r="F315">
        <v>13</v>
      </c>
      <c r="G315">
        <v>127</v>
      </c>
      <c r="H315">
        <v>155</v>
      </c>
      <c r="I315" t="str">
        <f>VLOOKUP(Call_Center_Data[[#This Row],[Emp ID]],Employee[],2,FALSE)</f>
        <v>Gina Simons</v>
      </c>
      <c r="J315" t="str">
        <f>VLOOKUP(Call_Center_Data[[#This Row],[Emp ID]], Employee[], 3, FALSE)</f>
        <v>Spokane, WA</v>
      </c>
      <c r="K315" t="str">
        <f>VLOOKUP(Call_Center_Data[[#This Row],[Emp ID]], Employee[], 4, FALSE)</f>
        <v>John Rhodes</v>
      </c>
      <c r="L315" t="str">
        <f>VLOOKUP(Call_Center_Data[[#This Row],[Call Type ID]], Call_Type[], 2, FALSE)</f>
        <v>Tech Sup</v>
      </c>
    </row>
    <row r="316" spans="1:12" x14ac:dyDescent="0.3">
      <c r="A316">
        <v>315</v>
      </c>
      <c r="B316">
        <v>1</v>
      </c>
      <c r="C316" s="1">
        <v>44909</v>
      </c>
      <c r="D316" s="2" t="s">
        <v>71</v>
      </c>
      <c r="E316">
        <v>1</v>
      </c>
      <c r="F316">
        <v>15</v>
      </c>
      <c r="G316">
        <v>139</v>
      </c>
      <c r="H316">
        <v>228</v>
      </c>
      <c r="I316" t="str">
        <f>VLOOKUP(Call_Center_Data[[#This Row],[Emp ID]],Employee[],2,FALSE)</f>
        <v>Sam Pat</v>
      </c>
      <c r="J316" t="str">
        <f>VLOOKUP(Call_Center_Data[[#This Row],[Emp ID]], Employee[], 3, FALSE)</f>
        <v>Aurora, CO</v>
      </c>
      <c r="K316" t="str">
        <f>VLOOKUP(Call_Center_Data[[#This Row],[Emp ID]], Employee[], 4, FALSE)</f>
        <v>Henry Mack</v>
      </c>
      <c r="L316" t="str">
        <f>VLOOKUP(Call_Center_Data[[#This Row],[Call Type ID]], Call_Type[], 2, FALSE)</f>
        <v>Billing</v>
      </c>
    </row>
    <row r="317" spans="1:12" x14ac:dyDescent="0.3">
      <c r="A317">
        <v>316</v>
      </c>
      <c r="B317">
        <v>1</v>
      </c>
      <c r="C317" s="1">
        <v>44910</v>
      </c>
      <c r="D317" s="2" t="s">
        <v>70</v>
      </c>
      <c r="E317">
        <v>0</v>
      </c>
      <c r="F317">
        <v>21</v>
      </c>
      <c r="G317">
        <v>141</v>
      </c>
      <c r="H317">
        <v>282</v>
      </c>
      <c r="I317" t="str">
        <f>VLOOKUP(Call_Center_Data[[#This Row],[Emp ID]],Employee[],2,FALSE)</f>
        <v>Jill Pat</v>
      </c>
      <c r="J317" t="str">
        <f>VLOOKUP(Call_Center_Data[[#This Row],[Emp ID]], Employee[], 3, FALSE)</f>
        <v>Aurora, CO</v>
      </c>
      <c r="K317" t="str">
        <f>VLOOKUP(Call_Center_Data[[#This Row],[Emp ID]], Employee[], 4, FALSE)</f>
        <v>Henry Rhodes</v>
      </c>
      <c r="L317" t="str">
        <f>VLOOKUP(Call_Center_Data[[#This Row],[Call Type ID]], Call_Type[], 2, FALSE)</f>
        <v>Billing</v>
      </c>
    </row>
    <row r="318" spans="1:12" x14ac:dyDescent="0.3">
      <c r="A318">
        <v>317</v>
      </c>
      <c r="B318">
        <v>2</v>
      </c>
      <c r="C318" s="1">
        <v>44911</v>
      </c>
      <c r="D318" s="2" t="s">
        <v>88</v>
      </c>
      <c r="E318">
        <v>1</v>
      </c>
      <c r="F318">
        <v>17</v>
      </c>
      <c r="G318">
        <v>143</v>
      </c>
      <c r="H318">
        <v>220</v>
      </c>
      <c r="I318" t="str">
        <f>VLOOKUP(Call_Center_Data[[#This Row],[Emp ID]],Employee[],2,FALSE)</f>
        <v>Gina Gilder</v>
      </c>
      <c r="J318" t="str">
        <f>VLOOKUP(Call_Center_Data[[#This Row],[Emp ID]], Employee[], 3, FALSE)</f>
        <v>Jacksonville, WA</v>
      </c>
      <c r="K318" t="str">
        <f>VLOOKUP(Call_Center_Data[[#This Row],[Emp ID]], Employee[], 4, FALSE)</f>
        <v>Pierce Rhodes</v>
      </c>
      <c r="L318" t="str">
        <f>VLOOKUP(Call_Center_Data[[#This Row],[Call Type ID]], Call_Type[], 2, FALSE)</f>
        <v>Sales</v>
      </c>
    </row>
    <row r="319" spans="1:12" x14ac:dyDescent="0.3">
      <c r="A319">
        <v>318</v>
      </c>
      <c r="B319">
        <v>3</v>
      </c>
      <c r="C319" s="1">
        <v>44912</v>
      </c>
      <c r="D319" s="2" t="s">
        <v>64</v>
      </c>
      <c r="E319">
        <v>1</v>
      </c>
      <c r="F319">
        <v>22</v>
      </c>
      <c r="G319">
        <v>130</v>
      </c>
      <c r="H319">
        <v>401</v>
      </c>
      <c r="I319" t="str">
        <f>VLOOKUP(Call_Center_Data[[#This Row],[Emp ID]],Employee[],2,FALSE)</f>
        <v>Jill Simons</v>
      </c>
      <c r="J319" t="str">
        <f>VLOOKUP(Call_Center_Data[[#This Row],[Emp ID]], Employee[], 3, FALSE)</f>
        <v>Spokane, WA</v>
      </c>
      <c r="K319" t="str">
        <f>VLOOKUP(Call_Center_Data[[#This Row],[Emp ID]], Employee[], 4, FALSE)</f>
        <v>Jenny Rhodes</v>
      </c>
      <c r="L319" t="str">
        <f>VLOOKUP(Call_Center_Data[[#This Row],[Call Type ID]], Call_Type[], 2, FALSE)</f>
        <v>Tech Sup</v>
      </c>
    </row>
    <row r="320" spans="1:12" x14ac:dyDescent="0.3">
      <c r="A320">
        <v>319</v>
      </c>
      <c r="B320">
        <v>1</v>
      </c>
      <c r="C320" s="1">
        <v>44913</v>
      </c>
      <c r="D320" s="2" t="s">
        <v>87</v>
      </c>
      <c r="E320">
        <v>0</v>
      </c>
      <c r="F320">
        <v>22</v>
      </c>
      <c r="G320">
        <v>143</v>
      </c>
      <c r="H320">
        <v>206</v>
      </c>
      <c r="I320" t="str">
        <f>VLOOKUP(Call_Center_Data[[#This Row],[Emp ID]],Employee[],2,FALSE)</f>
        <v>Gina Saab</v>
      </c>
      <c r="J320" t="str">
        <f>VLOOKUP(Call_Center_Data[[#This Row],[Emp ID]], Employee[], 3, FALSE)</f>
        <v>Jacksonville, WA</v>
      </c>
      <c r="K320" t="str">
        <f>VLOOKUP(Call_Center_Data[[#This Row],[Emp ID]], Employee[], 4, FALSE)</f>
        <v>Jenny Gill</v>
      </c>
      <c r="L320" t="str">
        <f>VLOOKUP(Call_Center_Data[[#This Row],[Call Type ID]], Call_Type[], 2, FALSE)</f>
        <v>Billing</v>
      </c>
    </row>
    <row r="321" spans="1:12" x14ac:dyDescent="0.3">
      <c r="A321">
        <v>320</v>
      </c>
      <c r="B321">
        <v>2</v>
      </c>
      <c r="C321" s="1">
        <v>44914</v>
      </c>
      <c r="D321" s="2" t="s">
        <v>66</v>
      </c>
      <c r="E321">
        <v>0</v>
      </c>
      <c r="F321">
        <v>25</v>
      </c>
      <c r="G321">
        <v>152</v>
      </c>
      <c r="H321">
        <v>125</v>
      </c>
      <c r="I321" t="str">
        <f>VLOOKUP(Call_Center_Data[[#This Row],[Emp ID]],Employee[],2,FALSE)</f>
        <v>Tina John</v>
      </c>
      <c r="J321" t="str">
        <f>VLOOKUP(Call_Center_Data[[#This Row],[Emp ID]], Employee[], 3, FALSE)</f>
        <v>Aurora, CO</v>
      </c>
      <c r="K321" t="str">
        <f>VLOOKUP(Call_Center_Data[[#This Row],[Emp ID]], Employee[], 4, FALSE)</f>
        <v>Timmy Rhodes</v>
      </c>
      <c r="L321" t="str">
        <f>VLOOKUP(Call_Center_Data[[#This Row],[Call Type ID]], Call_Type[], 2, FALSE)</f>
        <v>Sales</v>
      </c>
    </row>
    <row r="322" spans="1:12" x14ac:dyDescent="0.3">
      <c r="A322">
        <v>321</v>
      </c>
      <c r="B322">
        <v>3</v>
      </c>
      <c r="C322" s="1">
        <v>44915</v>
      </c>
      <c r="D322" s="2" t="s">
        <v>73</v>
      </c>
      <c r="E322">
        <v>0</v>
      </c>
      <c r="F322">
        <v>48</v>
      </c>
      <c r="G322">
        <v>135</v>
      </c>
      <c r="H322">
        <v>313</v>
      </c>
      <c r="I322" t="str">
        <f>VLOOKUP(Call_Center_Data[[#This Row],[Emp ID]],Employee[],2,FALSE)</f>
        <v>Jill John</v>
      </c>
      <c r="J322" t="str">
        <f>VLOOKUP(Call_Center_Data[[#This Row],[Emp ID]], Employee[], 3, FALSE)</f>
        <v>Spokane, WA</v>
      </c>
      <c r="K322" t="str">
        <f>VLOOKUP(Call_Center_Data[[#This Row],[Emp ID]], Employee[], 4, FALSE)</f>
        <v>John Gill</v>
      </c>
      <c r="L322" t="str">
        <f>VLOOKUP(Call_Center_Data[[#This Row],[Call Type ID]], Call_Type[], 2, FALSE)</f>
        <v>Tech Sup</v>
      </c>
    </row>
    <row r="323" spans="1:12" x14ac:dyDescent="0.3">
      <c r="A323">
        <v>322</v>
      </c>
      <c r="B323">
        <v>2</v>
      </c>
      <c r="C323" s="1">
        <v>44916</v>
      </c>
      <c r="D323" s="2" t="s">
        <v>77</v>
      </c>
      <c r="E323">
        <v>1</v>
      </c>
      <c r="F323">
        <v>21</v>
      </c>
      <c r="G323">
        <v>130</v>
      </c>
      <c r="H323">
        <v>165</v>
      </c>
      <c r="I323" t="str">
        <f>VLOOKUP(Call_Center_Data[[#This Row],[Emp ID]],Employee[],2,FALSE)</f>
        <v>Sam Saab</v>
      </c>
      <c r="J323" t="str">
        <f>VLOOKUP(Call_Center_Data[[#This Row],[Emp ID]], Employee[], 3, FALSE)</f>
        <v>Aurora, CO</v>
      </c>
      <c r="K323" t="str">
        <f>VLOOKUP(Call_Center_Data[[#This Row],[Emp ID]], Employee[], 4, FALSE)</f>
        <v>Timmy Mack</v>
      </c>
      <c r="L323" t="str">
        <f>VLOOKUP(Call_Center_Data[[#This Row],[Call Type ID]], Call_Type[], 2, FALSE)</f>
        <v>Sales</v>
      </c>
    </row>
    <row r="324" spans="1:12" x14ac:dyDescent="0.3">
      <c r="A324">
        <v>323</v>
      </c>
      <c r="B324">
        <v>2</v>
      </c>
      <c r="C324" s="1">
        <v>44917</v>
      </c>
      <c r="D324" s="2" t="s">
        <v>82</v>
      </c>
      <c r="E324">
        <v>1</v>
      </c>
      <c r="F324">
        <v>16</v>
      </c>
      <c r="G324">
        <v>140</v>
      </c>
      <c r="H324">
        <v>135</v>
      </c>
      <c r="I324" t="str">
        <f>VLOOKUP(Call_Center_Data[[#This Row],[Emp ID]],Employee[],2,FALSE)</f>
        <v>Ultor Gilder</v>
      </c>
      <c r="J324" t="str">
        <f>VLOOKUP(Call_Center_Data[[#This Row],[Emp ID]], Employee[], 3, FALSE)</f>
        <v>Aurora, CO</v>
      </c>
      <c r="K324" t="str">
        <f>VLOOKUP(Call_Center_Data[[#This Row],[Emp ID]], Employee[], 4, FALSE)</f>
        <v>Pierce Mack</v>
      </c>
      <c r="L324" t="str">
        <f>VLOOKUP(Call_Center_Data[[#This Row],[Call Type ID]], Call_Type[], 2, FALSE)</f>
        <v>Sales</v>
      </c>
    </row>
    <row r="325" spans="1:12" x14ac:dyDescent="0.3">
      <c r="A325">
        <v>324</v>
      </c>
      <c r="B325">
        <v>2</v>
      </c>
      <c r="C325" s="1">
        <v>44918</v>
      </c>
      <c r="D325" s="2" t="s">
        <v>70</v>
      </c>
      <c r="E325">
        <v>0</v>
      </c>
      <c r="F325">
        <v>18</v>
      </c>
      <c r="G325">
        <v>141</v>
      </c>
      <c r="H325">
        <v>137</v>
      </c>
      <c r="I325" t="str">
        <f>VLOOKUP(Call_Center_Data[[#This Row],[Emp ID]],Employee[],2,FALSE)</f>
        <v>Jill Pat</v>
      </c>
      <c r="J325" t="str">
        <f>VLOOKUP(Call_Center_Data[[#This Row],[Emp ID]], Employee[], 3, FALSE)</f>
        <v>Aurora, CO</v>
      </c>
      <c r="K325" t="str">
        <f>VLOOKUP(Call_Center_Data[[#This Row],[Emp ID]], Employee[], 4, FALSE)</f>
        <v>Henry Rhodes</v>
      </c>
      <c r="L325" t="str">
        <f>VLOOKUP(Call_Center_Data[[#This Row],[Call Type ID]], Call_Type[], 2, FALSE)</f>
        <v>Sales</v>
      </c>
    </row>
    <row r="326" spans="1:12" x14ac:dyDescent="0.3">
      <c r="A326">
        <v>325</v>
      </c>
      <c r="B326">
        <v>2</v>
      </c>
      <c r="C326" s="1">
        <v>44919</v>
      </c>
      <c r="D326" s="2" t="s">
        <v>77</v>
      </c>
      <c r="E326">
        <v>1</v>
      </c>
      <c r="F326">
        <v>29</v>
      </c>
      <c r="G326">
        <v>119</v>
      </c>
      <c r="H326">
        <v>221</v>
      </c>
      <c r="I326" t="str">
        <f>VLOOKUP(Call_Center_Data[[#This Row],[Emp ID]],Employee[],2,FALSE)</f>
        <v>Sam Saab</v>
      </c>
      <c r="J326" t="str">
        <f>VLOOKUP(Call_Center_Data[[#This Row],[Emp ID]], Employee[], 3, FALSE)</f>
        <v>Aurora, CO</v>
      </c>
      <c r="K326" t="str">
        <f>VLOOKUP(Call_Center_Data[[#This Row],[Emp ID]], Employee[], 4, FALSE)</f>
        <v>Timmy Mack</v>
      </c>
      <c r="L326" t="str">
        <f>VLOOKUP(Call_Center_Data[[#This Row],[Call Type ID]], Call_Type[], 2, FALSE)</f>
        <v>Sales</v>
      </c>
    </row>
    <row r="327" spans="1:12" x14ac:dyDescent="0.3">
      <c r="A327">
        <v>326</v>
      </c>
      <c r="B327">
        <v>2</v>
      </c>
      <c r="C327" s="1">
        <v>44920</v>
      </c>
      <c r="D327" s="2" t="s">
        <v>69</v>
      </c>
      <c r="E327">
        <v>0</v>
      </c>
      <c r="F327">
        <v>24</v>
      </c>
      <c r="G327">
        <v>132</v>
      </c>
      <c r="H327">
        <v>385</v>
      </c>
      <c r="I327" t="str">
        <f>VLOOKUP(Call_Center_Data[[#This Row],[Emp ID]],Employee[],2,FALSE)</f>
        <v>Sam Gilder</v>
      </c>
      <c r="J327" t="str">
        <f>VLOOKUP(Call_Center_Data[[#This Row],[Emp ID]], Employee[], 3, FALSE)</f>
        <v>Jacksonville, WA</v>
      </c>
      <c r="K327" t="str">
        <f>VLOOKUP(Call_Center_Data[[#This Row],[Emp ID]], Employee[], 4, FALSE)</f>
        <v>Timmy Hall</v>
      </c>
      <c r="L327" t="str">
        <f>VLOOKUP(Call_Center_Data[[#This Row],[Call Type ID]], Call_Type[], 2, FALSE)</f>
        <v>Sales</v>
      </c>
    </row>
    <row r="328" spans="1:12" x14ac:dyDescent="0.3">
      <c r="A328">
        <v>327</v>
      </c>
      <c r="B328">
        <v>1</v>
      </c>
      <c r="C328" s="1">
        <v>44921</v>
      </c>
      <c r="D328" s="2" t="s">
        <v>73</v>
      </c>
      <c r="E328">
        <v>1</v>
      </c>
      <c r="F328">
        <v>33</v>
      </c>
      <c r="G328">
        <v>178</v>
      </c>
      <c r="H328">
        <v>136</v>
      </c>
      <c r="I328" t="str">
        <f>VLOOKUP(Call_Center_Data[[#This Row],[Emp ID]],Employee[],2,FALSE)</f>
        <v>Jill John</v>
      </c>
      <c r="J328" t="str">
        <f>VLOOKUP(Call_Center_Data[[#This Row],[Emp ID]], Employee[], 3, FALSE)</f>
        <v>Spokane, WA</v>
      </c>
      <c r="K328" t="str">
        <f>VLOOKUP(Call_Center_Data[[#This Row],[Emp ID]], Employee[], 4, FALSE)</f>
        <v>John Gill</v>
      </c>
      <c r="L328" t="str">
        <f>VLOOKUP(Call_Center_Data[[#This Row],[Call Type ID]], Call_Type[], 2, FALSE)</f>
        <v>Billing</v>
      </c>
    </row>
    <row r="329" spans="1:12" x14ac:dyDescent="0.3">
      <c r="A329">
        <v>328</v>
      </c>
      <c r="B329">
        <v>1</v>
      </c>
      <c r="C329" s="1">
        <v>44922</v>
      </c>
      <c r="D329" s="2" t="s">
        <v>79</v>
      </c>
      <c r="E329">
        <v>1</v>
      </c>
      <c r="F329">
        <v>24</v>
      </c>
      <c r="G329">
        <v>138</v>
      </c>
      <c r="H329">
        <v>140</v>
      </c>
      <c r="I329" t="str">
        <f>VLOOKUP(Call_Center_Data[[#This Row],[Emp ID]],Employee[],2,FALSE)</f>
        <v>Gina Simons</v>
      </c>
      <c r="J329" t="str">
        <f>VLOOKUP(Call_Center_Data[[#This Row],[Emp ID]], Employee[], 3, FALSE)</f>
        <v>Spokane, WA</v>
      </c>
      <c r="K329" t="str">
        <f>VLOOKUP(Call_Center_Data[[#This Row],[Emp ID]], Employee[], 4, FALSE)</f>
        <v>John Rhodes</v>
      </c>
      <c r="L329" t="str">
        <f>VLOOKUP(Call_Center_Data[[#This Row],[Call Type ID]], Call_Type[], 2, FALSE)</f>
        <v>Billing</v>
      </c>
    </row>
    <row r="330" spans="1:12" x14ac:dyDescent="0.3">
      <c r="A330">
        <v>329</v>
      </c>
      <c r="B330">
        <v>1</v>
      </c>
      <c r="C330" s="1">
        <v>44923</v>
      </c>
      <c r="D330" s="2" t="s">
        <v>69</v>
      </c>
      <c r="E330">
        <v>1</v>
      </c>
      <c r="F330">
        <v>24</v>
      </c>
      <c r="G330">
        <v>142</v>
      </c>
      <c r="H330">
        <v>168</v>
      </c>
      <c r="I330" t="str">
        <f>VLOOKUP(Call_Center_Data[[#This Row],[Emp ID]],Employee[],2,FALSE)</f>
        <v>Sam Gilder</v>
      </c>
      <c r="J330" t="str">
        <f>VLOOKUP(Call_Center_Data[[#This Row],[Emp ID]], Employee[], 3, FALSE)</f>
        <v>Jacksonville, WA</v>
      </c>
      <c r="K330" t="str">
        <f>VLOOKUP(Call_Center_Data[[#This Row],[Emp ID]], Employee[], 4, FALSE)</f>
        <v>Timmy Hall</v>
      </c>
      <c r="L330" t="str">
        <f>VLOOKUP(Call_Center_Data[[#This Row],[Call Type ID]], Call_Type[], 2, FALSE)</f>
        <v>Billing</v>
      </c>
    </row>
    <row r="331" spans="1:12" x14ac:dyDescent="0.3">
      <c r="A331">
        <v>330</v>
      </c>
      <c r="B331">
        <v>3</v>
      </c>
      <c r="C331" s="1">
        <v>44924</v>
      </c>
      <c r="D331" s="2" t="s">
        <v>70</v>
      </c>
      <c r="E331">
        <v>1</v>
      </c>
      <c r="F331">
        <v>38</v>
      </c>
      <c r="G331">
        <v>137</v>
      </c>
      <c r="H331">
        <v>641</v>
      </c>
      <c r="I331" t="str">
        <f>VLOOKUP(Call_Center_Data[[#This Row],[Emp ID]],Employee[],2,FALSE)</f>
        <v>Jill Pat</v>
      </c>
      <c r="J331" t="str">
        <f>VLOOKUP(Call_Center_Data[[#This Row],[Emp ID]], Employee[], 3, FALSE)</f>
        <v>Aurora, CO</v>
      </c>
      <c r="K331" t="str">
        <f>VLOOKUP(Call_Center_Data[[#This Row],[Emp ID]], Employee[], 4, FALSE)</f>
        <v>Henry Rhodes</v>
      </c>
      <c r="L331" t="str">
        <f>VLOOKUP(Call_Center_Data[[#This Row],[Call Type ID]], Call_Type[], 2, FALSE)</f>
        <v>Tech Sup</v>
      </c>
    </row>
    <row r="332" spans="1:12" x14ac:dyDescent="0.3">
      <c r="A332">
        <v>331</v>
      </c>
      <c r="B332">
        <v>1</v>
      </c>
      <c r="C332" s="1">
        <v>44925</v>
      </c>
      <c r="D332" s="2" t="s">
        <v>67</v>
      </c>
      <c r="E332">
        <v>0</v>
      </c>
      <c r="F332">
        <v>30</v>
      </c>
      <c r="G332">
        <v>144</v>
      </c>
      <c r="H332">
        <v>312</v>
      </c>
      <c r="I332" t="str">
        <f>VLOOKUP(Call_Center_Data[[#This Row],[Emp ID]],Employee[],2,FALSE)</f>
        <v>Tina Pat</v>
      </c>
      <c r="J332" t="str">
        <f>VLOOKUP(Call_Center_Data[[#This Row],[Emp ID]], Employee[], 3, FALSE)</f>
        <v>Jacksonville, WA</v>
      </c>
      <c r="K332" t="str">
        <f>VLOOKUP(Call_Center_Data[[#This Row],[Emp ID]], Employee[], 4, FALSE)</f>
        <v>John Hall</v>
      </c>
      <c r="L332" t="str">
        <f>VLOOKUP(Call_Center_Data[[#This Row],[Call Type ID]], Call_Type[], 2, FALSE)</f>
        <v>Billing</v>
      </c>
    </row>
    <row r="333" spans="1:12" x14ac:dyDescent="0.3">
      <c r="A333">
        <v>332</v>
      </c>
      <c r="B333">
        <v>3</v>
      </c>
      <c r="C333" s="1">
        <v>44926</v>
      </c>
      <c r="D333" s="2" t="s">
        <v>88</v>
      </c>
      <c r="E333">
        <v>0</v>
      </c>
      <c r="F333">
        <v>25</v>
      </c>
      <c r="G333">
        <v>124</v>
      </c>
      <c r="H333">
        <v>220</v>
      </c>
      <c r="I333" t="str">
        <f>VLOOKUP(Call_Center_Data[[#This Row],[Emp ID]],Employee[],2,FALSE)</f>
        <v>Gina Gilder</v>
      </c>
      <c r="J333" t="str">
        <f>VLOOKUP(Call_Center_Data[[#This Row],[Emp ID]], Employee[], 3, FALSE)</f>
        <v>Jacksonville, WA</v>
      </c>
      <c r="K333" t="str">
        <f>VLOOKUP(Call_Center_Data[[#This Row],[Emp ID]], Employee[], 4, FALSE)</f>
        <v>Pierce Rhodes</v>
      </c>
      <c r="L333" t="str">
        <f>VLOOKUP(Call_Center_Data[[#This Row],[Call Type ID]], Call_Type[], 2, FALSE)</f>
        <v>Tech Sup</v>
      </c>
    </row>
    <row r="334" spans="1:12" x14ac:dyDescent="0.3">
      <c r="A334">
        <v>333</v>
      </c>
      <c r="B334">
        <v>3</v>
      </c>
      <c r="C334" s="1">
        <v>44927</v>
      </c>
      <c r="D334" s="2" t="s">
        <v>72</v>
      </c>
      <c r="E334">
        <v>0</v>
      </c>
      <c r="F334">
        <v>28</v>
      </c>
      <c r="G334">
        <v>145</v>
      </c>
      <c r="H334">
        <v>260</v>
      </c>
      <c r="I334" t="str">
        <f>VLOOKUP(Call_Center_Data[[#This Row],[Emp ID]],Employee[],2,FALSE)</f>
        <v>Ultor Pat</v>
      </c>
      <c r="J334" t="str">
        <f>VLOOKUP(Call_Center_Data[[#This Row],[Emp ID]], Employee[], 3, FALSE)</f>
        <v>Jacksonville, WA</v>
      </c>
      <c r="K334" t="str">
        <f>VLOOKUP(Call_Center_Data[[#This Row],[Emp ID]], Employee[], 4, FALSE)</f>
        <v>Jenny Hall</v>
      </c>
      <c r="L334" t="str">
        <f>VLOOKUP(Call_Center_Data[[#This Row],[Call Type ID]], Call_Type[], 2, FALSE)</f>
        <v>Tech Sup</v>
      </c>
    </row>
    <row r="335" spans="1:12" x14ac:dyDescent="0.3">
      <c r="A335">
        <v>334</v>
      </c>
      <c r="B335">
        <v>3</v>
      </c>
      <c r="C335" s="1">
        <v>44928</v>
      </c>
      <c r="D335" s="2" t="s">
        <v>66</v>
      </c>
      <c r="E335">
        <v>1</v>
      </c>
      <c r="F335">
        <v>37</v>
      </c>
      <c r="G335">
        <v>156</v>
      </c>
      <c r="H335">
        <v>190</v>
      </c>
      <c r="I335" t="str">
        <f>VLOOKUP(Call_Center_Data[[#This Row],[Emp ID]],Employee[],2,FALSE)</f>
        <v>Tina John</v>
      </c>
      <c r="J335" t="str">
        <f>VLOOKUP(Call_Center_Data[[#This Row],[Emp ID]], Employee[], 3, FALSE)</f>
        <v>Aurora, CO</v>
      </c>
      <c r="K335" t="str">
        <f>VLOOKUP(Call_Center_Data[[#This Row],[Emp ID]], Employee[], 4, FALSE)</f>
        <v>Timmy Rhodes</v>
      </c>
      <c r="L335" t="str">
        <f>VLOOKUP(Call_Center_Data[[#This Row],[Call Type ID]], Call_Type[], 2, FALSE)</f>
        <v>Tech Sup</v>
      </c>
    </row>
    <row r="336" spans="1:12" x14ac:dyDescent="0.3">
      <c r="A336">
        <v>335</v>
      </c>
      <c r="B336">
        <v>2</v>
      </c>
      <c r="C336" s="1">
        <v>44929</v>
      </c>
      <c r="D336" s="2" t="s">
        <v>74</v>
      </c>
      <c r="E336">
        <v>1</v>
      </c>
      <c r="F336">
        <v>23</v>
      </c>
      <c r="G336">
        <v>145</v>
      </c>
      <c r="H336">
        <v>165</v>
      </c>
      <c r="I336" t="str">
        <f>VLOOKUP(Call_Center_Data[[#This Row],[Emp ID]],Employee[],2,FALSE)</f>
        <v>Gina John</v>
      </c>
      <c r="J336" t="str">
        <f>VLOOKUP(Call_Center_Data[[#This Row],[Emp ID]], Employee[], 3, FALSE)</f>
        <v>Jacksonville, WA</v>
      </c>
      <c r="K336" t="str">
        <f>VLOOKUP(Call_Center_Data[[#This Row],[Emp ID]], Employee[], 4, FALSE)</f>
        <v>Henry Gill</v>
      </c>
      <c r="L336" t="str">
        <f>VLOOKUP(Call_Center_Data[[#This Row],[Call Type ID]], Call_Type[], 2, FALSE)</f>
        <v>Sales</v>
      </c>
    </row>
    <row r="337" spans="1:12" x14ac:dyDescent="0.3">
      <c r="A337">
        <v>336</v>
      </c>
      <c r="B337">
        <v>3</v>
      </c>
      <c r="C337" s="1">
        <v>44930</v>
      </c>
      <c r="D337" s="2" t="s">
        <v>88</v>
      </c>
      <c r="E337">
        <v>1</v>
      </c>
      <c r="F337">
        <v>29</v>
      </c>
      <c r="G337">
        <v>136</v>
      </c>
      <c r="H337">
        <v>165</v>
      </c>
      <c r="I337" t="str">
        <f>VLOOKUP(Call_Center_Data[[#This Row],[Emp ID]],Employee[],2,FALSE)</f>
        <v>Gina Gilder</v>
      </c>
      <c r="J337" t="str">
        <f>VLOOKUP(Call_Center_Data[[#This Row],[Emp ID]], Employee[], 3, FALSE)</f>
        <v>Jacksonville, WA</v>
      </c>
      <c r="K337" t="str">
        <f>VLOOKUP(Call_Center_Data[[#This Row],[Emp ID]], Employee[], 4, FALSE)</f>
        <v>Pierce Rhodes</v>
      </c>
      <c r="L337" t="str">
        <f>VLOOKUP(Call_Center_Data[[#This Row],[Call Type ID]], Call_Type[], 2, FALSE)</f>
        <v>Tech Sup</v>
      </c>
    </row>
    <row r="338" spans="1:12" x14ac:dyDescent="0.3">
      <c r="A338">
        <v>337</v>
      </c>
      <c r="B338">
        <v>1</v>
      </c>
      <c r="C338" s="1">
        <v>44931</v>
      </c>
      <c r="D338" s="2" t="s">
        <v>74</v>
      </c>
      <c r="E338">
        <v>0</v>
      </c>
      <c r="F338">
        <v>26</v>
      </c>
      <c r="G338">
        <v>143</v>
      </c>
      <c r="H338">
        <v>191</v>
      </c>
      <c r="I338" t="str">
        <f>VLOOKUP(Call_Center_Data[[#This Row],[Emp ID]],Employee[],2,FALSE)</f>
        <v>Gina John</v>
      </c>
      <c r="J338" t="str">
        <f>VLOOKUP(Call_Center_Data[[#This Row],[Emp ID]], Employee[], 3, FALSE)</f>
        <v>Jacksonville, WA</v>
      </c>
      <c r="K338" t="str">
        <f>VLOOKUP(Call_Center_Data[[#This Row],[Emp ID]], Employee[], 4, FALSE)</f>
        <v>Henry Gill</v>
      </c>
      <c r="L338" t="str">
        <f>VLOOKUP(Call_Center_Data[[#This Row],[Call Type ID]], Call_Type[], 2, FALSE)</f>
        <v>Billing</v>
      </c>
    </row>
    <row r="339" spans="1:12" x14ac:dyDescent="0.3">
      <c r="A339">
        <v>338</v>
      </c>
      <c r="B339">
        <v>3</v>
      </c>
      <c r="C339" s="1">
        <v>44932</v>
      </c>
      <c r="D339" s="2" t="s">
        <v>79</v>
      </c>
      <c r="E339">
        <v>1</v>
      </c>
      <c r="F339">
        <v>26</v>
      </c>
      <c r="G339">
        <v>134</v>
      </c>
      <c r="H339">
        <v>194</v>
      </c>
      <c r="I339" t="str">
        <f>VLOOKUP(Call_Center_Data[[#This Row],[Emp ID]],Employee[],2,FALSE)</f>
        <v>Gina Simons</v>
      </c>
      <c r="J339" t="str">
        <f>VLOOKUP(Call_Center_Data[[#This Row],[Emp ID]], Employee[], 3, FALSE)</f>
        <v>Spokane, WA</v>
      </c>
      <c r="K339" t="str">
        <f>VLOOKUP(Call_Center_Data[[#This Row],[Emp ID]], Employee[], 4, FALSE)</f>
        <v>John Rhodes</v>
      </c>
      <c r="L339" t="str">
        <f>VLOOKUP(Call_Center_Data[[#This Row],[Call Type ID]], Call_Type[], 2, FALSE)</f>
        <v>Tech Sup</v>
      </c>
    </row>
    <row r="340" spans="1:12" x14ac:dyDescent="0.3">
      <c r="A340">
        <v>339</v>
      </c>
      <c r="B340">
        <v>1</v>
      </c>
      <c r="C340" s="1">
        <v>44933</v>
      </c>
      <c r="D340" s="2" t="s">
        <v>66</v>
      </c>
      <c r="E340">
        <v>1</v>
      </c>
      <c r="F340">
        <v>23</v>
      </c>
      <c r="G340">
        <v>145</v>
      </c>
      <c r="H340">
        <v>112</v>
      </c>
      <c r="I340" t="str">
        <f>VLOOKUP(Call_Center_Data[[#This Row],[Emp ID]],Employee[],2,FALSE)</f>
        <v>Tina John</v>
      </c>
      <c r="J340" t="str">
        <f>VLOOKUP(Call_Center_Data[[#This Row],[Emp ID]], Employee[], 3, FALSE)</f>
        <v>Aurora, CO</v>
      </c>
      <c r="K340" t="str">
        <f>VLOOKUP(Call_Center_Data[[#This Row],[Emp ID]], Employee[], 4, FALSE)</f>
        <v>Timmy Rhodes</v>
      </c>
      <c r="L340" t="str">
        <f>VLOOKUP(Call_Center_Data[[#This Row],[Call Type ID]], Call_Type[], 2, FALSE)</f>
        <v>Billing</v>
      </c>
    </row>
    <row r="341" spans="1:12" x14ac:dyDescent="0.3">
      <c r="A341">
        <v>340</v>
      </c>
      <c r="B341">
        <v>2</v>
      </c>
      <c r="C341" s="1">
        <v>44934</v>
      </c>
      <c r="D341" s="2" t="s">
        <v>75</v>
      </c>
      <c r="E341">
        <v>0</v>
      </c>
      <c r="F341">
        <v>33</v>
      </c>
      <c r="G341">
        <v>162</v>
      </c>
      <c r="H341">
        <v>196</v>
      </c>
      <c r="I341" t="str">
        <f>VLOOKUP(Call_Center_Data[[#This Row],[Emp ID]],Employee[],2,FALSE)</f>
        <v>Gina Pat</v>
      </c>
      <c r="J341" t="str">
        <f>VLOOKUP(Call_Center_Data[[#This Row],[Emp ID]], Employee[], 3, FALSE)</f>
        <v>Spokane, WA</v>
      </c>
      <c r="K341" t="str">
        <f>VLOOKUP(Call_Center_Data[[#This Row],[Emp ID]], Employee[], 4, FALSE)</f>
        <v>Henry Hall</v>
      </c>
      <c r="L341" t="str">
        <f>VLOOKUP(Call_Center_Data[[#This Row],[Call Type ID]], Call_Type[], 2, FALSE)</f>
        <v>Sales</v>
      </c>
    </row>
    <row r="342" spans="1:12" x14ac:dyDescent="0.3">
      <c r="A342">
        <v>341</v>
      </c>
      <c r="B342">
        <v>3</v>
      </c>
      <c r="C342" s="1">
        <v>44935</v>
      </c>
      <c r="D342" s="2" t="s">
        <v>71</v>
      </c>
      <c r="E342">
        <v>0</v>
      </c>
      <c r="F342">
        <v>40</v>
      </c>
      <c r="G342">
        <v>155</v>
      </c>
      <c r="H342">
        <v>192</v>
      </c>
      <c r="I342" t="str">
        <f>VLOOKUP(Call_Center_Data[[#This Row],[Emp ID]],Employee[],2,FALSE)</f>
        <v>Sam Pat</v>
      </c>
      <c r="J342" t="str">
        <f>VLOOKUP(Call_Center_Data[[#This Row],[Emp ID]], Employee[], 3, FALSE)</f>
        <v>Aurora, CO</v>
      </c>
      <c r="K342" t="str">
        <f>VLOOKUP(Call_Center_Data[[#This Row],[Emp ID]], Employee[], 4, FALSE)</f>
        <v>Henry Mack</v>
      </c>
      <c r="L342" t="str">
        <f>VLOOKUP(Call_Center_Data[[#This Row],[Call Type ID]], Call_Type[], 2, FALSE)</f>
        <v>Tech Sup</v>
      </c>
    </row>
    <row r="343" spans="1:12" x14ac:dyDescent="0.3">
      <c r="A343">
        <v>342</v>
      </c>
      <c r="B343">
        <v>2</v>
      </c>
      <c r="C343" s="1">
        <v>44936</v>
      </c>
      <c r="D343" s="2" t="s">
        <v>83</v>
      </c>
      <c r="E343">
        <v>0</v>
      </c>
      <c r="F343">
        <v>32</v>
      </c>
      <c r="G343">
        <v>136</v>
      </c>
      <c r="H343">
        <v>220</v>
      </c>
      <c r="I343" t="str">
        <f>VLOOKUP(Call_Center_Data[[#This Row],[Emp ID]],Employee[],2,FALSE)</f>
        <v>Ultor Simons</v>
      </c>
      <c r="J343" t="str">
        <f>VLOOKUP(Call_Center_Data[[#This Row],[Emp ID]], Employee[], 3, FALSE)</f>
        <v>Jacksonville, WA</v>
      </c>
      <c r="K343" t="str">
        <f>VLOOKUP(Call_Center_Data[[#This Row],[Emp ID]], Employee[], 4, FALSE)</f>
        <v>Pierce Hall</v>
      </c>
      <c r="L343" t="str">
        <f>VLOOKUP(Call_Center_Data[[#This Row],[Call Type ID]], Call_Type[], 2, FALSE)</f>
        <v>Sales</v>
      </c>
    </row>
    <row r="344" spans="1:12" x14ac:dyDescent="0.3">
      <c r="A344">
        <v>343</v>
      </c>
      <c r="B344">
        <v>2</v>
      </c>
      <c r="C344" s="1">
        <v>44937</v>
      </c>
      <c r="D344" s="2" t="s">
        <v>71</v>
      </c>
      <c r="E344">
        <v>1</v>
      </c>
      <c r="F344">
        <v>35</v>
      </c>
      <c r="G344">
        <v>138</v>
      </c>
      <c r="H344">
        <v>220</v>
      </c>
      <c r="I344" t="str">
        <f>VLOOKUP(Call_Center_Data[[#This Row],[Emp ID]],Employee[],2,FALSE)</f>
        <v>Sam Pat</v>
      </c>
      <c r="J344" t="str">
        <f>VLOOKUP(Call_Center_Data[[#This Row],[Emp ID]], Employee[], 3, FALSE)</f>
        <v>Aurora, CO</v>
      </c>
      <c r="K344" t="str">
        <f>VLOOKUP(Call_Center_Data[[#This Row],[Emp ID]], Employee[], 4, FALSE)</f>
        <v>Henry Mack</v>
      </c>
      <c r="L344" t="str">
        <f>VLOOKUP(Call_Center_Data[[#This Row],[Call Type ID]], Call_Type[], 2, FALSE)</f>
        <v>Sales</v>
      </c>
    </row>
    <row r="345" spans="1:12" x14ac:dyDescent="0.3">
      <c r="A345">
        <v>344</v>
      </c>
      <c r="B345">
        <v>1</v>
      </c>
      <c r="C345" s="1">
        <v>44938</v>
      </c>
      <c r="D345" s="2" t="s">
        <v>79</v>
      </c>
      <c r="E345">
        <v>1</v>
      </c>
      <c r="F345">
        <v>28</v>
      </c>
      <c r="G345">
        <v>130</v>
      </c>
      <c r="H345">
        <v>244</v>
      </c>
      <c r="I345" t="str">
        <f>VLOOKUP(Call_Center_Data[[#This Row],[Emp ID]],Employee[],2,FALSE)</f>
        <v>Gina Simons</v>
      </c>
      <c r="J345" t="str">
        <f>VLOOKUP(Call_Center_Data[[#This Row],[Emp ID]], Employee[], 3, FALSE)</f>
        <v>Spokane, WA</v>
      </c>
      <c r="K345" t="str">
        <f>VLOOKUP(Call_Center_Data[[#This Row],[Emp ID]], Employee[], 4, FALSE)</f>
        <v>John Rhodes</v>
      </c>
      <c r="L345" t="str">
        <f>VLOOKUP(Call_Center_Data[[#This Row],[Call Type ID]], Call_Type[], 2, FALSE)</f>
        <v>Billing</v>
      </c>
    </row>
    <row r="346" spans="1:12" x14ac:dyDescent="0.3">
      <c r="A346">
        <v>345</v>
      </c>
      <c r="B346">
        <v>3</v>
      </c>
      <c r="C346" s="1">
        <v>44939</v>
      </c>
      <c r="D346" s="2" t="s">
        <v>69</v>
      </c>
      <c r="E346">
        <v>0</v>
      </c>
      <c r="F346">
        <v>41</v>
      </c>
      <c r="G346">
        <v>136</v>
      </c>
      <c r="H346">
        <v>311</v>
      </c>
      <c r="I346" t="str">
        <f>VLOOKUP(Call_Center_Data[[#This Row],[Emp ID]],Employee[],2,FALSE)</f>
        <v>Sam Gilder</v>
      </c>
      <c r="J346" t="str">
        <f>VLOOKUP(Call_Center_Data[[#This Row],[Emp ID]], Employee[], 3, FALSE)</f>
        <v>Jacksonville, WA</v>
      </c>
      <c r="K346" t="str">
        <f>VLOOKUP(Call_Center_Data[[#This Row],[Emp ID]], Employee[], 4, FALSE)</f>
        <v>Timmy Hall</v>
      </c>
      <c r="L346" t="str">
        <f>VLOOKUP(Call_Center_Data[[#This Row],[Call Type ID]], Call_Type[], 2, FALSE)</f>
        <v>Tech Sup</v>
      </c>
    </row>
    <row r="347" spans="1:12" x14ac:dyDescent="0.3">
      <c r="A347">
        <v>346</v>
      </c>
      <c r="B347">
        <v>3</v>
      </c>
      <c r="C347" s="1">
        <v>44940</v>
      </c>
      <c r="D347" s="2" t="s">
        <v>69</v>
      </c>
      <c r="E347">
        <v>0</v>
      </c>
      <c r="F347">
        <v>28</v>
      </c>
      <c r="G347">
        <v>140</v>
      </c>
      <c r="H347">
        <v>239</v>
      </c>
      <c r="I347" t="str">
        <f>VLOOKUP(Call_Center_Data[[#This Row],[Emp ID]],Employee[],2,FALSE)</f>
        <v>Sam Gilder</v>
      </c>
      <c r="J347" t="str">
        <f>VLOOKUP(Call_Center_Data[[#This Row],[Emp ID]], Employee[], 3, FALSE)</f>
        <v>Jacksonville, WA</v>
      </c>
      <c r="K347" t="str">
        <f>VLOOKUP(Call_Center_Data[[#This Row],[Emp ID]], Employee[], 4, FALSE)</f>
        <v>Timmy Hall</v>
      </c>
      <c r="L347" t="str">
        <f>VLOOKUP(Call_Center_Data[[#This Row],[Call Type ID]], Call_Type[], 2, FALSE)</f>
        <v>Tech Sup</v>
      </c>
    </row>
    <row r="348" spans="1:12" x14ac:dyDescent="0.3">
      <c r="A348">
        <v>347</v>
      </c>
      <c r="B348">
        <v>1</v>
      </c>
      <c r="C348" s="1">
        <v>44941</v>
      </c>
      <c r="D348" s="2" t="s">
        <v>73</v>
      </c>
      <c r="E348">
        <v>0</v>
      </c>
      <c r="F348">
        <v>22</v>
      </c>
      <c r="G348">
        <v>128</v>
      </c>
      <c r="H348">
        <v>442</v>
      </c>
      <c r="I348" t="str">
        <f>VLOOKUP(Call_Center_Data[[#This Row],[Emp ID]],Employee[],2,FALSE)</f>
        <v>Jill John</v>
      </c>
      <c r="J348" t="str">
        <f>VLOOKUP(Call_Center_Data[[#This Row],[Emp ID]], Employee[], 3, FALSE)</f>
        <v>Spokane, WA</v>
      </c>
      <c r="K348" t="str">
        <f>VLOOKUP(Call_Center_Data[[#This Row],[Emp ID]], Employee[], 4, FALSE)</f>
        <v>John Gill</v>
      </c>
      <c r="L348" t="str">
        <f>VLOOKUP(Call_Center_Data[[#This Row],[Call Type ID]], Call_Type[], 2, FALSE)</f>
        <v>Billing</v>
      </c>
    </row>
    <row r="349" spans="1:12" x14ac:dyDescent="0.3">
      <c r="A349">
        <v>348</v>
      </c>
      <c r="B349">
        <v>3</v>
      </c>
      <c r="C349" s="1">
        <v>44942</v>
      </c>
      <c r="D349" s="2" t="s">
        <v>71</v>
      </c>
      <c r="E349">
        <v>1</v>
      </c>
      <c r="F349">
        <v>13</v>
      </c>
      <c r="G349">
        <v>150</v>
      </c>
      <c r="H349">
        <v>62</v>
      </c>
      <c r="I349" t="str">
        <f>VLOOKUP(Call_Center_Data[[#This Row],[Emp ID]],Employee[],2,FALSE)</f>
        <v>Sam Pat</v>
      </c>
      <c r="J349" t="str">
        <f>VLOOKUP(Call_Center_Data[[#This Row],[Emp ID]], Employee[], 3, FALSE)</f>
        <v>Aurora, CO</v>
      </c>
      <c r="K349" t="str">
        <f>VLOOKUP(Call_Center_Data[[#This Row],[Emp ID]], Employee[], 4, FALSE)</f>
        <v>Henry Mack</v>
      </c>
      <c r="L349" t="str">
        <f>VLOOKUP(Call_Center_Data[[#This Row],[Call Type ID]], Call_Type[], 2, FALSE)</f>
        <v>Tech Sup</v>
      </c>
    </row>
    <row r="350" spans="1:12" x14ac:dyDescent="0.3">
      <c r="A350">
        <v>349</v>
      </c>
      <c r="B350">
        <v>2</v>
      </c>
      <c r="C350" s="1">
        <v>44943</v>
      </c>
      <c r="D350" s="2" t="s">
        <v>83</v>
      </c>
      <c r="E350">
        <v>1</v>
      </c>
      <c r="F350">
        <v>23</v>
      </c>
      <c r="G350">
        <v>128</v>
      </c>
      <c r="H350">
        <v>189</v>
      </c>
      <c r="I350" t="str">
        <f>VLOOKUP(Call_Center_Data[[#This Row],[Emp ID]],Employee[],2,FALSE)</f>
        <v>Ultor Simons</v>
      </c>
      <c r="J350" t="str">
        <f>VLOOKUP(Call_Center_Data[[#This Row],[Emp ID]], Employee[], 3, FALSE)</f>
        <v>Jacksonville, WA</v>
      </c>
      <c r="K350" t="str">
        <f>VLOOKUP(Call_Center_Data[[#This Row],[Emp ID]], Employee[], 4, FALSE)</f>
        <v>Pierce Hall</v>
      </c>
      <c r="L350" t="str">
        <f>VLOOKUP(Call_Center_Data[[#This Row],[Call Type ID]], Call_Type[], 2, FALSE)</f>
        <v>Sales</v>
      </c>
    </row>
    <row r="351" spans="1:12" x14ac:dyDescent="0.3">
      <c r="A351">
        <v>350</v>
      </c>
      <c r="B351">
        <v>3</v>
      </c>
      <c r="C351" s="1">
        <v>44944</v>
      </c>
      <c r="D351" s="2" t="s">
        <v>68</v>
      </c>
      <c r="E351">
        <v>1</v>
      </c>
      <c r="F351">
        <v>25</v>
      </c>
      <c r="G351">
        <v>135</v>
      </c>
      <c r="H351">
        <v>172</v>
      </c>
      <c r="I351" t="str">
        <f>VLOOKUP(Call_Center_Data[[#This Row],[Emp ID]],Employee[],2,FALSE)</f>
        <v>Tina Saab</v>
      </c>
      <c r="J351" t="str">
        <f>VLOOKUP(Call_Center_Data[[#This Row],[Emp ID]], Employee[], 3, FALSE)</f>
        <v>Spokane, WA</v>
      </c>
      <c r="K351" t="str">
        <f>VLOOKUP(Call_Center_Data[[#This Row],[Emp ID]], Employee[], 4, FALSE)</f>
        <v>Henry Baas</v>
      </c>
      <c r="L351" t="str">
        <f>VLOOKUP(Call_Center_Data[[#This Row],[Call Type ID]], Call_Type[], 2, FALSE)</f>
        <v>Tech Sup</v>
      </c>
    </row>
    <row r="352" spans="1:12" x14ac:dyDescent="0.3">
      <c r="A352">
        <v>351</v>
      </c>
      <c r="B352">
        <v>2</v>
      </c>
      <c r="C352" s="1">
        <v>44945</v>
      </c>
      <c r="D352" s="2" t="s">
        <v>69</v>
      </c>
      <c r="E352">
        <v>1</v>
      </c>
      <c r="F352">
        <v>34</v>
      </c>
      <c r="G352">
        <v>150</v>
      </c>
      <c r="H352">
        <v>461</v>
      </c>
      <c r="I352" t="str">
        <f>VLOOKUP(Call_Center_Data[[#This Row],[Emp ID]],Employee[],2,FALSE)</f>
        <v>Sam Gilder</v>
      </c>
      <c r="J352" t="str">
        <f>VLOOKUP(Call_Center_Data[[#This Row],[Emp ID]], Employee[], 3, FALSE)</f>
        <v>Jacksonville, WA</v>
      </c>
      <c r="K352" t="str">
        <f>VLOOKUP(Call_Center_Data[[#This Row],[Emp ID]], Employee[], 4, FALSE)</f>
        <v>Timmy Hall</v>
      </c>
      <c r="L352" t="str">
        <f>VLOOKUP(Call_Center_Data[[#This Row],[Call Type ID]], Call_Type[], 2, FALSE)</f>
        <v>Sales</v>
      </c>
    </row>
    <row r="353" spans="1:12" x14ac:dyDescent="0.3">
      <c r="A353">
        <v>352</v>
      </c>
      <c r="B353">
        <v>1</v>
      </c>
      <c r="C353" s="1">
        <v>44946</v>
      </c>
      <c r="D353" s="2" t="s">
        <v>78</v>
      </c>
      <c r="E353">
        <v>1</v>
      </c>
      <c r="F353">
        <v>57</v>
      </c>
      <c r="G353">
        <v>115</v>
      </c>
      <c r="H353">
        <v>348</v>
      </c>
      <c r="I353" t="str">
        <f>VLOOKUP(Call_Center_Data[[#This Row],[Emp ID]],Employee[],2,FALSE)</f>
        <v>Jill Saab</v>
      </c>
      <c r="J353" t="str">
        <f>VLOOKUP(Call_Center_Data[[#This Row],[Emp ID]], Employee[], 3, FALSE)</f>
        <v>Spokane, WA</v>
      </c>
      <c r="K353" t="str">
        <f>VLOOKUP(Call_Center_Data[[#This Row],[Emp ID]], Employee[], 4, FALSE)</f>
        <v>Timmy Gill</v>
      </c>
      <c r="L353" t="str">
        <f>VLOOKUP(Call_Center_Data[[#This Row],[Call Type ID]], Call_Type[], 2, FALSE)</f>
        <v>Billing</v>
      </c>
    </row>
    <row r="354" spans="1:12" x14ac:dyDescent="0.3">
      <c r="A354">
        <v>353</v>
      </c>
      <c r="B354">
        <v>3</v>
      </c>
      <c r="C354" s="1">
        <v>44947</v>
      </c>
      <c r="D354" s="2" t="s">
        <v>79</v>
      </c>
      <c r="E354">
        <v>1</v>
      </c>
      <c r="F354">
        <v>42</v>
      </c>
      <c r="G354">
        <v>125</v>
      </c>
      <c r="H354">
        <v>606</v>
      </c>
      <c r="I354" t="str">
        <f>VLOOKUP(Call_Center_Data[[#This Row],[Emp ID]],Employee[],2,FALSE)</f>
        <v>Gina Simons</v>
      </c>
      <c r="J354" t="str">
        <f>VLOOKUP(Call_Center_Data[[#This Row],[Emp ID]], Employee[], 3, FALSE)</f>
        <v>Spokane, WA</v>
      </c>
      <c r="K354" t="str">
        <f>VLOOKUP(Call_Center_Data[[#This Row],[Emp ID]], Employee[], 4, FALSE)</f>
        <v>John Rhodes</v>
      </c>
      <c r="L354" t="str">
        <f>VLOOKUP(Call_Center_Data[[#This Row],[Call Type ID]], Call_Type[], 2, FALSE)</f>
        <v>Tech Sup</v>
      </c>
    </row>
    <row r="355" spans="1:12" x14ac:dyDescent="0.3">
      <c r="A355">
        <v>354</v>
      </c>
      <c r="B355">
        <v>2</v>
      </c>
      <c r="C355" s="1">
        <v>44948</v>
      </c>
      <c r="D355" s="2" t="s">
        <v>85</v>
      </c>
      <c r="E355">
        <v>0</v>
      </c>
      <c r="F355">
        <v>24</v>
      </c>
      <c r="G355">
        <v>141</v>
      </c>
      <c r="H355">
        <v>192</v>
      </c>
      <c r="I355" t="str">
        <f>VLOOKUP(Call_Center_Data[[#This Row],[Emp ID]],Employee[],2,FALSE)</f>
        <v>Tina Gilder</v>
      </c>
      <c r="J355" t="str">
        <f>VLOOKUP(Call_Center_Data[[#This Row],[Emp ID]], Employee[], 3, FALSE)</f>
        <v>Spokane, WA</v>
      </c>
      <c r="K355" t="str">
        <f>VLOOKUP(Call_Center_Data[[#This Row],[Emp ID]], Employee[], 4, FALSE)</f>
        <v>Timmy Baas</v>
      </c>
      <c r="L355" t="str">
        <f>VLOOKUP(Call_Center_Data[[#This Row],[Call Type ID]], Call_Type[], 2, FALSE)</f>
        <v>Sales</v>
      </c>
    </row>
    <row r="356" spans="1:12" x14ac:dyDescent="0.3">
      <c r="A356">
        <v>355</v>
      </c>
      <c r="B356">
        <v>2</v>
      </c>
      <c r="C356" s="1">
        <v>44949</v>
      </c>
      <c r="D356" s="2" t="s">
        <v>66</v>
      </c>
      <c r="E356">
        <v>0</v>
      </c>
      <c r="F356">
        <v>16</v>
      </c>
      <c r="G356">
        <v>131</v>
      </c>
      <c r="H356">
        <v>201</v>
      </c>
      <c r="I356" t="str">
        <f>VLOOKUP(Call_Center_Data[[#This Row],[Emp ID]],Employee[],2,FALSE)</f>
        <v>Tina John</v>
      </c>
      <c r="J356" t="str">
        <f>VLOOKUP(Call_Center_Data[[#This Row],[Emp ID]], Employee[], 3, FALSE)</f>
        <v>Aurora, CO</v>
      </c>
      <c r="K356" t="str">
        <f>VLOOKUP(Call_Center_Data[[#This Row],[Emp ID]], Employee[], 4, FALSE)</f>
        <v>Timmy Rhodes</v>
      </c>
      <c r="L356" t="str">
        <f>VLOOKUP(Call_Center_Data[[#This Row],[Call Type ID]], Call_Type[], 2, FALSE)</f>
        <v>Sales</v>
      </c>
    </row>
    <row r="357" spans="1:12" x14ac:dyDescent="0.3">
      <c r="A357">
        <v>356</v>
      </c>
      <c r="B357">
        <v>1</v>
      </c>
      <c r="C357" s="1">
        <v>44950</v>
      </c>
      <c r="D357" s="2" t="s">
        <v>75</v>
      </c>
      <c r="E357">
        <v>0</v>
      </c>
      <c r="F357">
        <v>25</v>
      </c>
      <c r="G357">
        <v>142</v>
      </c>
      <c r="H357">
        <v>110</v>
      </c>
      <c r="I357" t="str">
        <f>VLOOKUP(Call_Center_Data[[#This Row],[Emp ID]],Employee[],2,FALSE)</f>
        <v>Gina Pat</v>
      </c>
      <c r="J357" t="str">
        <f>VLOOKUP(Call_Center_Data[[#This Row],[Emp ID]], Employee[], 3, FALSE)</f>
        <v>Spokane, WA</v>
      </c>
      <c r="K357" t="str">
        <f>VLOOKUP(Call_Center_Data[[#This Row],[Emp ID]], Employee[], 4, FALSE)</f>
        <v>Henry Hall</v>
      </c>
      <c r="L357" t="str">
        <f>VLOOKUP(Call_Center_Data[[#This Row],[Call Type ID]], Call_Type[], 2, FALSE)</f>
        <v>Billing</v>
      </c>
    </row>
    <row r="358" spans="1:12" x14ac:dyDescent="0.3">
      <c r="A358">
        <v>357</v>
      </c>
      <c r="B358">
        <v>1</v>
      </c>
      <c r="C358" s="1">
        <v>44951</v>
      </c>
      <c r="D358" s="2" t="s">
        <v>79</v>
      </c>
      <c r="E358">
        <v>1</v>
      </c>
      <c r="F358">
        <v>22</v>
      </c>
      <c r="G358">
        <v>139</v>
      </c>
      <c r="H358">
        <v>127</v>
      </c>
      <c r="I358" t="str">
        <f>VLOOKUP(Call_Center_Data[[#This Row],[Emp ID]],Employee[],2,FALSE)</f>
        <v>Gina Simons</v>
      </c>
      <c r="J358" t="str">
        <f>VLOOKUP(Call_Center_Data[[#This Row],[Emp ID]], Employee[], 3, FALSE)</f>
        <v>Spokane, WA</v>
      </c>
      <c r="K358" t="str">
        <f>VLOOKUP(Call_Center_Data[[#This Row],[Emp ID]], Employee[], 4, FALSE)</f>
        <v>John Rhodes</v>
      </c>
      <c r="L358" t="str">
        <f>VLOOKUP(Call_Center_Data[[#This Row],[Call Type ID]], Call_Type[], 2, FALSE)</f>
        <v>Billing</v>
      </c>
    </row>
    <row r="359" spans="1:12" x14ac:dyDescent="0.3">
      <c r="A359">
        <v>358</v>
      </c>
      <c r="B359">
        <v>3</v>
      </c>
      <c r="C359" s="1">
        <v>44952</v>
      </c>
      <c r="D359" s="2" t="s">
        <v>75</v>
      </c>
      <c r="E359">
        <v>1</v>
      </c>
      <c r="F359">
        <v>32</v>
      </c>
      <c r="G359">
        <v>150</v>
      </c>
      <c r="H359">
        <v>234</v>
      </c>
      <c r="I359" t="str">
        <f>VLOOKUP(Call_Center_Data[[#This Row],[Emp ID]],Employee[],2,FALSE)</f>
        <v>Gina Pat</v>
      </c>
      <c r="J359" t="str">
        <f>VLOOKUP(Call_Center_Data[[#This Row],[Emp ID]], Employee[], 3, FALSE)</f>
        <v>Spokane, WA</v>
      </c>
      <c r="K359" t="str">
        <f>VLOOKUP(Call_Center_Data[[#This Row],[Emp ID]], Employee[], 4, FALSE)</f>
        <v>Henry Hall</v>
      </c>
      <c r="L359" t="str">
        <f>VLOOKUP(Call_Center_Data[[#This Row],[Call Type ID]], Call_Type[], 2, FALSE)</f>
        <v>Tech Sup</v>
      </c>
    </row>
    <row r="360" spans="1:12" x14ac:dyDescent="0.3">
      <c r="A360">
        <v>359</v>
      </c>
      <c r="B360">
        <v>3</v>
      </c>
      <c r="C360" s="1">
        <v>44953</v>
      </c>
      <c r="D360" s="2" t="s">
        <v>66</v>
      </c>
      <c r="E360">
        <v>1</v>
      </c>
      <c r="F360">
        <v>28</v>
      </c>
      <c r="G360">
        <v>142</v>
      </c>
      <c r="H360">
        <v>330</v>
      </c>
      <c r="I360" t="str">
        <f>VLOOKUP(Call_Center_Data[[#This Row],[Emp ID]],Employee[],2,FALSE)</f>
        <v>Tina John</v>
      </c>
      <c r="J360" t="str">
        <f>VLOOKUP(Call_Center_Data[[#This Row],[Emp ID]], Employee[], 3, FALSE)</f>
        <v>Aurora, CO</v>
      </c>
      <c r="K360" t="str">
        <f>VLOOKUP(Call_Center_Data[[#This Row],[Emp ID]], Employee[], 4, FALSE)</f>
        <v>Timmy Rhodes</v>
      </c>
      <c r="L360" t="str">
        <f>VLOOKUP(Call_Center_Data[[#This Row],[Call Type ID]], Call_Type[], 2, FALSE)</f>
        <v>Tech Sup</v>
      </c>
    </row>
    <row r="361" spans="1:12" x14ac:dyDescent="0.3">
      <c r="A361">
        <v>360</v>
      </c>
      <c r="B361">
        <v>1</v>
      </c>
      <c r="C361" s="1">
        <v>44954</v>
      </c>
      <c r="D361" s="2" t="s">
        <v>79</v>
      </c>
      <c r="E361">
        <v>0</v>
      </c>
      <c r="F361">
        <v>35</v>
      </c>
      <c r="G361">
        <v>135</v>
      </c>
      <c r="H361">
        <v>204</v>
      </c>
      <c r="I361" t="str">
        <f>VLOOKUP(Call_Center_Data[[#This Row],[Emp ID]],Employee[],2,FALSE)</f>
        <v>Gina Simons</v>
      </c>
      <c r="J361" t="str">
        <f>VLOOKUP(Call_Center_Data[[#This Row],[Emp ID]], Employee[], 3, FALSE)</f>
        <v>Spokane, WA</v>
      </c>
      <c r="K361" t="str">
        <f>VLOOKUP(Call_Center_Data[[#This Row],[Emp ID]], Employee[], 4, FALSE)</f>
        <v>John Rhodes</v>
      </c>
      <c r="L361" t="str">
        <f>VLOOKUP(Call_Center_Data[[#This Row],[Call Type ID]], Call_Type[], 2, FALSE)</f>
        <v>Billing</v>
      </c>
    </row>
    <row r="362" spans="1:12" x14ac:dyDescent="0.3">
      <c r="A362">
        <v>361</v>
      </c>
      <c r="B362">
        <v>1</v>
      </c>
      <c r="C362" s="1">
        <v>44955</v>
      </c>
      <c r="D362" s="2" t="s">
        <v>86</v>
      </c>
      <c r="E362">
        <v>1</v>
      </c>
      <c r="F362">
        <v>34</v>
      </c>
      <c r="G362">
        <v>145</v>
      </c>
      <c r="H362">
        <v>166</v>
      </c>
      <c r="I362" t="str">
        <f>VLOOKUP(Call_Center_Data[[#This Row],[Emp ID]],Employee[],2,FALSE)</f>
        <v>Jill Gilder</v>
      </c>
      <c r="J362" t="str">
        <f>VLOOKUP(Call_Center_Data[[#This Row],[Emp ID]], Employee[], 3, FALSE)</f>
        <v>Aurora, CO</v>
      </c>
      <c r="K362" t="str">
        <f>VLOOKUP(Call_Center_Data[[#This Row],[Emp ID]], Employee[], 4, FALSE)</f>
        <v>Jenny Baas</v>
      </c>
      <c r="L362" t="str">
        <f>VLOOKUP(Call_Center_Data[[#This Row],[Call Type ID]], Call_Type[], 2, FALSE)</f>
        <v>Billing</v>
      </c>
    </row>
    <row r="363" spans="1:12" x14ac:dyDescent="0.3">
      <c r="A363">
        <v>362</v>
      </c>
      <c r="B363">
        <v>3</v>
      </c>
      <c r="C363" s="1">
        <v>44956</v>
      </c>
      <c r="D363" s="2" t="s">
        <v>79</v>
      </c>
      <c r="E363">
        <v>0</v>
      </c>
      <c r="F363">
        <v>26</v>
      </c>
      <c r="G363">
        <v>117</v>
      </c>
      <c r="H363">
        <v>177</v>
      </c>
      <c r="I363" t="str">
        <f>VLOOKUP(Call_Center_Data[[#This Row],[Emp ID]],Employee[],2,FALSE)</f>
        <v>Gina Simons</v>
      </c>
      <c r="J363" t="str">
        <f>VLOOKUP(Call_Center_Data[[#This Row],[Emp ID]], Employee[], 3, FALSE)</f>
        <v>Spokane, WA</v>
      </c>
      <c r="K363" t="str">
        <f>VLOOKUP(Call_Center_Data[[#This Row],[Emp ID]], Employee[], 4, FALSE)</f>
        <v>John Rhodes</v>
      </c>
      <c r="L363" t="str">
        <f>VLOOKUP(Call_Center_Data[[#This Row],[Call Type ID]], Call_Type[], 2, FALSE)</f>
        <v>Tech Sup</v>
      </c>
    </row>
    <row r="364" spans="1:12" x14ac:dyDescent="0.3">
      <c r="A364">
        <v>363</v>
      </c>
      <c r="B364">
        <v>3</v>
      </c>
      <c r="C364" s="1">
        <v>44957</v>
      </c>
      <c r="D364" s="2" t="s">
        <v>70</v>
      </c>
      <c r="E364">
        <v>1</v>
      </c>
      <c r="F364">
        <v>37</v>
      </c>
      <c r="G364">
        <v>137</v>
      </c>
      <c r="H364">
        <v>385</v>
      </c>
      <c r="I364" t="str">
        <f>VLOOKUP(Call_Center_Data[[#This Row],[Emp ID]],Employee[],2,FALSE)</f>
        <v>Jill Pat</v>
      </c>
      <c r="J364" t="str">
        <f>VLOOKUP(Call_Center_Data[[#This Row],[Emp ID]], Employee[], 3, FALSE)</f>
        <v>Aurora, CO</v>
      </c>
      <c r="K364" t="str">
        <f>VLOOKUP(Call_Center_Data[[#This Row],[Emp ID]], Employee[], 4, FALSE)</f>
        <v>Henry Rhodes</v>
      </c>
      <c r="L364" t="str">
        <f>VLOOKUP(Call_Center_Data[[#This Row],[Call Type ID]], Call_Type[], 2, FALSE)</f>
        <v>Tech Sup</v>
      </c>
    </row>
    <row r="365" spans="1:12" x14ac:dyDescent="0.3">
      <c r="A365">
        <v>364</v>
      </c>
      <c r="B365">
        <v>2</v>
      </c>
      <c r="C365" s="1">
        <v>44958</v>
      </c>
      <c r="D365" s="2" t="s">
        <v>88</v>
      </c>
      <c r="E365">
        <v>0</v>
      </c>
      <c r="F365">
        <v>33</v>
      </c>
      <c r="G365">
        <v>143</v>
      </c>
      <c r="H365">
        <v>220</v>
      </c>
      <c r="I365" t="str">
        <f>VLOOKUP(Call_Center_Data[[#This Row],[Emp ID]],Employee[],2,FALSE)</f>
        <v>Gina Gilder</v>
      </c>
      <c r="J365" t="str">
        <f>VLOOKUP(Call_Center_Data[[#This Row],[Emp ID]], Employee[], 3, FALSE)</f>
        <v>Jacksonville, WA</v>
      </c>
      <c r="K365" t="str">
        <f>VLOOKUP(Call_Center_Data[[#This Row],[Emp ID]], Employee[], 4, FALSE)</f>
        <v>Pierce Rhodes</v>
      </c>
      <c r="L365" t="str">
        <f>VLOOKUP(Call_Center_Data[[#This Row],[Call Type ID]], Call_Type[], 2, FALSE)</f>
        <v>Sales</v>
      </c>
    </row>
    <row r="366" spans="1:12" x14ac:dyDescent="0.3">
      <c r="A366">
        <v>365</v>
      </c>
      <c r="B366">
        <v>2</v>
      </c>
      <c r="C366" s="1">
        <v>44959</v>
      </c>
      <c r="D366" s="2" t="s">
        <v>84</v>
      </c>
      <c r="E366">
        <v>0</v>
      </c>
      <c r="F366">
        <v>34</v>
      </c>
      <c r="G366">
        <v>144</v>
      </c>
      <c r="H366">
        <v>172</v>
      </c>
      <c r="I366" t="str">
        <f>VLOOKUP(Call_Center_Data[[#This Row],[Emp ID]],Employee[],2,FALSE)</f>
        <v>Sam John</v>
      </c>
      <c r="J366" t="str">
        <f>VLOOKUP(Call_Center_Data[[#This Row],[Emp ID]], Employee[], 3, FALSE)</f>
        <v>Aurora, CO</v>
      </c>
      <c r="K366" t="str">
        <f>VLOOKUP(Call_Center_Data[[#This Row],[Emp ID]], Employee[], 4, FALSE)</f>
        <v>Jenny Mack</v>
      </c>
      <c r="L366" t="str">
        <f>VLOOKUP(Call_Center_Data[[#This Row],[Call Type ID]], Call_Type[], 2, FALSE)</f>
        <v>Sales</v>
      </c>
    </row>
    <row r="367" spans="1:12" x14ac:dyDescent="0.3">
      <c r="A367">
        <v>366</v>
      </c>
      <c r="B367">
        <v>3</v>
      </c>
      <c r="C367" s="1">
        <v>44960</v>
      </c>
      <c r="D367" s="2" t="s">
        <v>85</v>
      </c>
      <c r="E367">
        <v>0</v>
      </c>
      <c r="F367">
        <v>45</v>
      </c>
      <c r="G367">
        <v>151</v>
      </c>
      <c r="H367">
        <v>264</v>
      </c>
      <c r="I367" t="str">
        <f>VLOOKUP(Call_Center_Data[[#This Row],[Emp ID]],Employee[],2,FALSE)</f>
        <v>Tina Gilder</v>
      </c>
      <c r="J367" t="str">
        <f>VLOOKUP(Call_Center_Data[[#This Row],[Emp ID]], Employee[], 3, FALSE)</f>
        <v>Spokane, WA</v>
      </c>
      <c r="K367" t="str">
        <f>VLOOKUP(Call_Center_Data[[#This Row],[Emp ID]], Employee[], 4, FALSE)</f>
        <v>Timmy Baas</v>
      </c>
      <c r="L367" t="str">
        <f>VLOOKUP(Call_Center_Data[[#This Row],[Call Type ID]], Call_Type[], 2, FALSE)</f>
        <v>Tech Sup</v>
      </c>
    </row>
    <row r="368" spans="1:12" x14ac:dyDescent="0.3">
      <c r="A368">
        <v>367</v>
      </c>
      <c r="B368">
        <v>1</v>
      </c>
      <c r="C368" s="1">
        <v>44961</v>
      </c>
      <c r="D368" s="2" t="s">
        <v>64</v>
      </c>
      <c r="E368">
        <v>1</v>
      </c>
      <c r="F368">
        <v>32</v>
      </c>
      <c r="G368">
        <v>137</v>
      </c>
      <c r="H368">
        <v>202</v>
      </c>
      <c r="I368" t="str">
        <f>VLOOKUP(Call_Center_Data[[#This Row],[Emp ID]],Employee[],2,FALSE)</f>
        <v>Jill Simons</v>
      </c>
      <c r="J368" t="str">
        <f>VLOOKUP(Call_Center_Data[[#This Row],[Emp ID]], Employee[], 3, FALSE)</f>
        <v>Spokane, WA</v>
      </c>
      <c r="K368" t="str">
        <f>VLOOKUP(Call_Center_Data[[#This Row],[Emp ID]], Employee[], 4, FALSE)</f>
        <v>Jenny Rhodes</v>
      </c>
      <c r="L368" t="str">
        <f>VLOOKUP(Call_Center_Data[[#This Row],[Call Type ID]], Call_Type[], 2, FALSE)</f>
        <v>Billing</v>
      </c>
    </row>
    <row r="369" spans="1:12" x14ac:dyDescent="0.3">
      <c r="A369">
        <v>368</v>
      </c>
      <c r="B369">
        <v>3</v>
      </c>
      <c r="C369" s="1">
        <v>44962</v>
      </c>
      <c r="D369" s="2" t="s">
        <v>64</v>
      </c>
      <c r="E369">
        <v>1</v>
      </c>
      <c r="F369">
        <v>32</v>
      </c>
      <c r="G369">
        <v>133</v>
      </c>
      <c r="H369">
        <v>416</v>
      </c>
      <c r="I369" t="str">
        <f>VLOOKUP(Call_Center_Data[[#This Row],[Emp ID]],Employee[],2,FALSE)</f>
        <v>Jill Simons</v>
      </c>
      <c r="J369" t="str">
        <f>VLOOKUP(Call_Center_Data[[#This Row],[Emp ID]], Employee[], 3, FALSE)</f>
        <v>Spokane, WA</v>
      </c>
      <c r="K369" t="str">
        <f>VLOOKUP(Call_Center_Data[[#This Row],[Emp ID]], Employee[], 4, FALSE)</f>
        <v>Jenny Rhodes</v>
      </c>
      <c r="L369" t="str">
        <f>VLOOKUP(Call_Center_Data[[#This Row],[Call Type ID]], Call_Type[], 2, FALSE)</f>
        <v>Tech Sup</v>
      </c>
    </row>
    <row r="370" spans="1:12" x14ac:dyDescent="0.3">
      <c r="A370">
        <v>369</v>
      </c>
      <c r="B370">
        <v>3</v>
      </c>
      <c r="C370" s="1">
        <v>44963</v>
      </c>
      <c r="D370" s="2" t="s">
        <v>68</v>
      </c>
      <c r="E370">
        <v>0</v>
      </c>
      <c r="F370">
        <v>32</v>
      </c>
      <c r="G370">
        <v>154</v>
      </c>
      <c r="H370">
        <v>157</v>
      </c>
      <c r="I370" t="str">
        <f>VLOOKUP(Call_Center_Data[[#This Row],[Emp ID]],Employee[],2,FALSE)</f>
        <v>Tina Saab</v>
      </c>
      <c r="J370" t="str">
        <f>VLOOKUP(Call_Center_Data[[#This Row],[Emp ID]], Employee[], 3, FALSE)</f>
        <v>Spokane, WA</v>
      </c>
      <c r="K370" t="str">
        <f>VLOOKUP(Call_Center_Data[[#This Row],[Emp ID]], Employee[], 4, FALSE)</f>
        <v>Henry Baas</v>
      </c>
      <c r="L370" t="str">
        <f>VLOOKUP(Call_Center_Data[[#This Row],[Call Type ID]], Call_Type[], 2, FALSE)</f>
        <v>Tech Sup</v>
      </c>
    </row>
    <row r="371" spans="1:12" x14ac:dyDescent="0.3">
      <c r="A371">
        <v>370</v>
      </c>
      <c r="B371">
        <v>2</v>
      </c>
      <c r="C371" s="1">
        <v>44964</v>
      </c>
      <c r="D371" s="2" t="s">
        <v>86</v>
      </c>
      <c r="E371">
        <v>1</v>
      </c>
      <c r="F371">
        <v>38</v>
      </c>
      <c r="G371">
        <v>125</v>
      </c>
      <c r="H371">
        <v>330</v>
      </c>
      <c r="I371" t="str">
        <f>VLOOKUP(Call_Center_Data[[#This Row],[Emp ID]],Employee[],2,FALSE)</f>
        <v>Jill Gilder</v>
      </c>
      <c r="J371" t="str">
        <f>VLOOKUP(Call_Center_Data[[#This Row],[Emp ID]], Employee[], 3, FALSE)</f>
        <v>Aurora, CO</v>
      </c>
      <c r="K371" t="str">
        <f>VLOOKUP(Call_Center_Data[[#This Row],[Emp ID]], Employee[], 4, FALSE)</f>
        <v>Jenny Baas</v>
      </c>
      <c r="L371" t="str">
        <f>VLOOKUP(Call_Center_Data[[#This Row],[Call Type ID]], Call_Type[], 2, FALSE)</f>
        <v>Sales</v>
      </c>
    </row>
    <row r="372" spans="1:12" x14ac:dyDescent="0.3">
      <c r="A372">
        <v>371</v>
      </c>
      <c r="B372">
        <v>3</v>
      </c>
      <c r="C372" s="1">
        <v>44965</v>
      </c>
      <c r="D372" s="2" t="s">
        <v>71</v>
      </c>
      <c r="E372">
        <v>0</v>
      </c>
      <c r="F372">
        <v>41</v>
      </c>
      <c r="G372">
        <v>145</v>
      </c>
      <c r="H372">
        <v>220</v>
      </c>
      <c r="I372" t="str">
        <f>VLOOKUP(Call_Center_Data[[#This Row],[Emp ID]],Employee[],2,FALSE)</f>
        <v>Sam Pat</v>
      </c>
      <c r="J372" t="str">
        <f>VLOOKUP(Call_Center_Data[[#This Row],[Emp ID]], Employee[], 3, FALSE)</f>
        <v>Aurora, CO</v>
      </c>
      <c r="K372" t="str">
        <f>VLOOKUP(Call_Center_Data[[#This Row],[Emp ID]], Employee[], 4, FALSE)</f>
        <v>Henry Mack</v>
      </c>
      <c r="L372" t="str">
        <f>VLOOKUP(Call_Center_Data[[#This Row],[Call Type ID]], Call_Type[], 2, FALSE)</f>
        <v>Tech Sup</v>
      </c>
    </row>
    <row r="373" spans="1:12" x14ac:dyDescent="0.3">
      <c r="A373">
        <v>372</v>
      </c>
      <c r="B373">
        <v>3</v>
      </c>
      <c r="C373" s="1">
        <v>44966</v>
      </c>
      <c r="D373" s="2" t="s">
        <v>81</v>
      </c>
      <c r="E373">
        <v>0</v>
      </c>
      <c r="F373">
        <v>29</v>
      </c>
      <c r="G373">
        <v>149</v>
      </c>
      <c r="H373">
        <v>116</v>
      </c>
      <c r="I373" t="str">
        <f>VLOOKUP(Call_Center_Data[[#This Row],[Emp ID]],Employee[],2,FALSE)</f>
        <v>Sam Simons</v>
      </c>
      <c r="J373" t="str">
        <f>VLOOKUP(Call_Center_Data[[#This Row],[Emp ID]], Employee[], 3, FALSE)</f>
        <v>Jacksonville, WA</v>
      </c>
      <c r="K373" t="str">
        <f>VLOOKUP(Call_Center_Data[[#This Row],[Emp ID]], Employee[], 4, FALSE)</f>
        <v>John Baas</v>
      </c>
      <c r="L373" t="str">
        <f>VLOOKUP(Call_Center_Data[[#This Row],[Call Type ID]], Call_Type[], 2, FALSE)</f>
        <v>Tech Sup</v>
      </c>
    </row>
    <row r="374" spans="1:12" x14ac:dyDescent="0.3">
      <c r="A374">
        <v>373</v>
      </c>
      <c r="B374">
        <v>1</v>
      </c>
      <c r="C374" s="1">
        <v>44967</v>
      </c>
      <c r="D374" s="2" t="s">
        <v>73</v>
      </c>
      <c r="E374">
        <v>0</v>
      </c>
      <c r="F374">
        <v>30</v>
      </c>
      <c r="G374">
        <v>138</v>
      </c>
      <c r="H374">
        <v>190</v>
      </c>
      <c r="I374" t="str">
        <f>VLOOKUP(Call_Center_Data[[#This Row],[Emp ID]],Employee[],2,FALSE)</f>
        <v>Jill John</v>
      </c>
      <c r="J374" t="str">
        <f>VLOOKUP(Call_Center_Data[[#This Row],[Emp ID]], Employee[], 3, FALSE)</f>
        <v>Spokane, WA</v>
      </c>
      <c r="K374" t="str">
        <f>VLOOKUP(Call_Center_Data[[#This Row],[Emp ID]], Employee[], 4, FALSE)</f>
        <v>John Gill</v>
      </c>
      <c r="L374" t="str">
        <f>VLOOKUP(Call_Center_Data[[#This Row],[Call Type ID]], Call_Type[], 2, FALSE)</f>
        <v>Billing</v>
      </c>
    </row>
    <row r="375" spans="1:12" x14ac:dyDescent="0.3">
      <c r="A375">
        <v>374</v>
      </c>
      <c r="B375">
        <v>1</v>
      </c>
      <c r="C375" s="1">
        <v>44968</v>
      </c>
      <c r="D375" s="2" t="s">
        <v>88</v>
      </c>
      <c r="E375">
        <v>0</v>
      </c>
      <c r="F375">
        <v>49</v>
      </c>
      <c r="G375">
        <v>146</v>
      </c>
      <c r="H375">
        <v>456</v>
      </c>
      <c r="I375" t="str">
        <f>VLOOKUP(Call_Center_Data[[#This Row],[Emp ID]],Employee[],2,FALSE)</f>
        <v>Gina Gilder</v>
      </c>
      <c r="J375" t="str">
        <f>VLOOKUP(Call_Center_Data[[#This Row],[Emp ID]], Employee[], 3, FALSE)</f>
        <v>Jacksonville, WA</v>
      </c>
      <c r="K375" t="str">
        <f>VLOOKUP(Call_Center_Data[[#This Row],[Emp ID]], Employee[], 4, FALSE)</f>
        <v>Pierce Rhodes</v>
      </c>
      <c r="L375" t="str">
        <f>VLOOKUP(Call_Center_Data[[#This Row],[Call Type ID]], Call_Type[], 2, FALSE)</f>
        <v>Billing</v>
      </c>
    </row>
    <row r="376" spans="1:12" x14ac:dyDescent="0.3">
      <c r="A376">
        <v>375</v>
      </c>
      <c r="B376">
        <v>2</v>
      </c>
      <c r="C376" s="1">
        <v>44969</v>
      </c>
      <c r="D376" s="2" t="s">
        <v>80</v>
      </c>
      <c r="E376">
        <v>0</v>
      </c>
      <c r="F376">
        <v>24</v>
      </c>
      <c r="G376">
        <v>134</v>
      </c>
      <c r="H376">
        <v>114</v>
      </c>
      <c r="I376" t="str">
        <f>VLOOKUP(Call_Center_Data[[#This Row],[Emp ID]],Employee[],2,FALSE)</f>
        <v>Tina Simons</v>
      </c>
      <c r="J376" t="str">
        <f>VLOOKUP(Call_Center_Data[[#This Row],[Emp ID]], Employee[], 3, FALSE)</f>
        <v>Aurora, CO</v>
      </c>
      <c r="K376" t="str">
        <f>VLOOKUP(Call_Center_Data[[#This Row],[Emp ID]], Employee[], 4, FALSE)</f>
        <v>Pierce Gill</v>
      </c>
      <c r="L376" t="str">
        <f>VLOOKUP(Call_Center_Data[[#This Row],[Call Type ID]], Call_Type[], 2, FALSE)</f>
        <v>Sales</v>
      </c>
    </row>
    <row r="377" spans="1:12" x14ac:dyDescent="0.3">
      <c r="A377">
        <v>376</v>
      </c>
      <c r="B377">
        <v>3</v>
      </c>
      <c r="C377" s="1">
        <v>44970</v>
      </c>
      <c r="D377" s="2" t="s">
        <v>66</v>
      </c>
      <c r="E377">
        <v>1</v>
      </c>
      <c r="F377">
        <v>6</v>
      </c>
      <c r="G377">
        <v>135</v>
      </c>
      <c r="H377">
        <v>46</v>
      </c>
      <c r="I377" t="str">
        <f>VLOOKUP(Call_Center_Data[[#This Row],[Emp ID]],Employee[],2,FALSE)</f>
        <v>Tina John</v>
      </c>
      <c r="J377" t="str">
        <f>VLOOKUP(Call_Center_Data[[#This Row],[Emp ID]], Employee[], 3, FALSE)</f>
        <v>Aurora, CO</v>
      </c>
      <c r="K377" t="str">
        <f>VLOOKUP(Call_Center_Data[[#This Row],[Emp ID]], Employee[], 4, FALSE)</f>
        <v>Timmy Rhodes</v>
      </c>
      <c r="L377" t="str">
        <f>VLOOKUP(Call_Center_Data[[#This Row],[Call Type ID]], Call_Type[], 2, FALSE)</f>
        <v>Tech Sup</v>
      </c>
    </row>
    <row r="378" spans="1:12" x14ac:dyDescent="0.3">
      <c r="A378">
        <v>377</v>
      </c>
      <c r="B378">
        <v>3</v>
      </c>
      <c r="C378" s="1">
        <v>44971</v>
      </c>
      <c r="D378" s="2" t="s">
        <v>85</v>
      </c>
      <c r="E378">
        <v>0</v>
      </c>
      <c r="F378">
        <v>31</v>
      </c>
      <c r="G378">
        <v>141</v>
      </c>
      <c r="H378">
        <v>242</v>
      </c>
      <c r="I378" t="str">
        <f>VLOOKUP(Call_Center_Data[[#This Row],[Emp ID]],Employee[],2,FALSE)</f>
        <v>Tina Gilder</v>
      </c>
      <c r="J378" t="str">
        <f>VLOOKUP(Call_Center_Data[[#This Row],[Emp ID]], Employee[], 3, FALSE)</f>
        <v>Spokane, WA</v>
      </c>
      <c r="K378" t="str">
        <f>VLOOKUP(Call_Center_Data[[#This Row],[Emp ID]], Employee[], 4, FALSE)</f>
        <v>Timmy Baas</v>
      </c>
      <c r="L378" t="str">
        <f>VLOOKUP(Call_Center_Data[[#This Row],[Call Type ID]], Call_Type[], 2, FALSE)</f>
        <v>Tech Sup</v>
      </c>
    </row>
    <row r="379" spans="1:12" x14ac:dyDescent="0.3">
      <c r="A379">
        <v>378</v>
      </c>
      <c r="B379">
        <v>2</v>
      </c>
      <c r="C379" s="1">
        <v>44972</v>
      </c>
      <c r="D379" s="2" t="s">
        <v>74</v>
      </c>
      <c r="E379">
        <v>0</v>
      </c>
      <c r="F379">
        <v>34</v>
      </c>
      <c r="G379">
        <v>141</v>
      </c>
      <c r="H379">
        <v>385</v>
      </c>
      <c r="I379" t="str">
        <f>VLOOKUP(Call_Center_Data[[#This Row],[Emp ID]],Employee[],2,FALSE)</f>
        <v>Gina John</v>
      </c>
      <c r="J379" t="str">
        <f>VLOOKUP(Call_Center_Data[[#This Row],[Emp ID]], Employee[], 3, FALSE)</f>
        <v>Jacksonville, WA</v>
      </c>
      <c r="K379" t="str">
        <f>VLOOKUP(Call_Center_Data[[#This Row],[Emp ID]], Employee[], 4, FALSE)</f>
        <v>Henry Gill</v>
      </c>
      <c r="L379" t="str">
        <f>VLOOKUP(Call_Center_Data[[#This Row],[Call Type ID]], Call_Type[], 2, FALSE)</f>
        <v>Sales</v>
      </c>
    </row>
    <row r="380" spans="1:12" x14ac:dyDescent="0.3">
      <c r="A380">
        <v>379</v>
      </c>
      <c r="B380">
        <v>3</v>
      </c>
      <c r="C380" s="1">
        <v>44973</v>
      </c>
      <c r="D380" s="2" t="s">
        <v>67</v>
      </c>
      <c r="E380">
        <v>1</v>
      </c>
      <c r="F380">
        <v>45</v>
      </c>
      <c r="G380">
        <v>138</v>
      </c>
      <c r="H380">
        <v>435</v>
      </c>
      <c r="I380" t="str">
        <f>VLOOKUP(Call_Center_Data[[#This Row],[Emp ID]],Employee[],2,FALSE)</f>
        <v>Tina Pat</v>
      </c>
      <c r="J380" t="str">
        <f>VLOOKUP(Call_Center_Data[[#This Row],[Emp ID]], Employee[], 3, FALSE)</f>
        <v>Jacksonville, WA</v>
      </c>
      <c r="K380" t="str">
        <f>VLOOKUP(Call_Center_Data[[#This Row],[Emp ID]], Employee[], 4, FALSE)</f>
        <v>John Hall</v>
      </c>
      <c r="L380" t="str">
        <f>VLOOKUP(Call_Center_Data[[#This Row],[Call Type ID]], Call_Type[], 2, FALSE)</f>
        <v>Tech Sup</v>
      </c>
    </row>
    <row r="381" spans="1:12" x14ac:dyDescent="0.3">
      <c r="A381">
        <v>380</v>
      </c>
      <c r="B381">
        <v>2</v>
      </c>
      <c r="C381" s="1">
        <v>44974</v>
      </c>
      <c r="D381" s="2" t="s">
        <v>64</v>
      </c>
      <c r="E381">
        <v>1</v>
      </c>
      <c r="F381">
        <v>22</v>
      </c>
      <c r="G381">
        <v>137</v>
      </c>
      <c r="H381">
        <v>135</v>
      </c>
      <c r="I381" t="str">
        <f>VLOOKUP(Call_Center_Data[[#This Row],[Emp ID]],Employee[],2,FALSE)</f>
        <v>Jill Simons</v>
      </c>
      <c r="J381" t="str">
        <f>VLOOKUP(Call_Center_Data[[#This Row],[Emp ID]], Employee[], 3, FALSE)</f>
        <v>Spokane, WA</v>
      </c>
      <c r="K381" t="str">
        <f>VLOOKUP(Call_Center_Data[[#This Row],[Emp ID]], Employee[], 4, FALSE)</f>
        <v>Jenny Rhodes</v>
      </c>
      <c r="L381" t="str">
        <f>VLOOKUP(Call_Center_Data[[#This Row],[Call Type ID]], Call_Type[], 2, FALSE)</f>
        <v>Sales</v>
      </c>
    </row>
    <row r="382" spans="1:12" x14ac:dyDescent="0.3">
      <c r="A382">
        <v>381</v>
      </c>
      <c r="B382">
        <v>1</v>
      </c>
      <c r="C382" s="1">
        <v>44975</v>
      </c>
      <c r="D382" s="2" t="s">
        <v>71</v>
      </c>
      <c r="E382">
        <v>0</v>
      </c>
      <c r="F382">
        <v>24</v>
      </c>
      <c r="G382">
        <v>132</v>
      </c>
      <c r="H382">
        <v>208</v>
      </c>
      <c r="I382" t="str">
        <f>VLOOKUP(Call_Center_Data[[#This Row],[Emp ID]],Employee[],2,FALSE)</f>
        <v>Sam Pat</v>
      </c>
      <c r="J382" t="str">
        <f>VLOOKUP(Call_Center_Data[[#This Row],[Emp ID]], Employee[], 3, FALSE)</f>
        <v>Aurora, CO</v>
      </c>
      <c r="K382" t="str">
        <f>VLOOKUP(Call_Center_Data[[#This Row],[Emp ID]], Employee[], 4, FALSE)</f>
        <v>Henry Mack</v>
      </c>
      <c r="L382" t="str">
        <f>VLOOKUP(Call_Center_Data[[#This Row],[Call Type ID]], Call_Type[], 2, FALSE)</f>
        <v>Billing</v>
      </c>
    </row>
    <row r="383" spans="1:12" x14ac:dyDescent="0.3">
      <c r="A383">
        <v>382</v>
      </c>
      <c r="B383">
        <v>1</v>
      </c>
      <c r="C383" s="1">
        <v>44976</v>
      </c>
      <c r="D383" s="2" t="s">
        <v>64</v>
      </c>
      <c r="E383">
        <v>0</v>
      </c>
      <c r="F383">
        <v>27</v>
      </c>
      <c r="G383">
        <v>139</v>
      </c>
      <c r="H383">
        <v>199</v>
      </c>
      <c r="I383" t="str">
        <f>VLOOKUP(Call_Center_Data[[#This Row],[Emp ID]],Employee[],2,FALSE)</f>
        <v>Jill Simons</v>
      </c>
      <c r="J383" t="str">
        <f>VLOOKUP(Call_Center_Data[[#This Row],[Emp ID]], Employee[], 3, FALSE)</f>
        <v>Spokane, WA</v>
      </c>
      <c r="K383" t="str">
        <f>VLOOKUP(Call_Center_Data[[#This Row],[Emp ID]], Employee[], 4, FALSE)</f>
        <v>Jenny Rhodes</v>
      </c>
      <c r="L383" t="str">
        <f>VLOOKUP(Call_Center_Data[[#This Row],[Call Type ID]], Call_Type[], 2, FALSE)</f>
        <v>Billing</v>
      </c>
    </row>
    <row r="384" spans="1:12" x14ac:dyDescent="0.3">
      <c r="A384">
        <v>383</v>
      </c>
      <c r="B384">
        <v>3</v>
      </c>
      <c r="C384" s="1">
        <v>44977</v>
      </c>
      <c r="D384" s="2" t="s">
        <v>87</v>
      </c>
      <c r="E384">
        <v>1</v>
      </c>
      <c r="F384">
        <v>37</v>
      </c>
      <c r="G384">
        <v>138</v>
      </c>
      <c r="H384">
        <v>196</v>
      </c>
      <c r="I384" t="str">
        <f>VLOOKUP(Call_Center_Data[[#This Row],[Emp ID]],Employee[],2,FALSE)</f>
        <v>Gina Saab</v>
      </c>
      <c r="J384" t="str">
        <f>VLOOKUP(Call_Center_Data[[#This Row],[Emp ID]], Employee[], 3, FALSE)</f>
        <v>Jacksonville, WA</v>
      </c>
      <c r="K384" t="str">
        <f>VLOOKUP(Call_Center_Data[[#This Row],[Emp ID]], Employee[], 4, FALSE)</f>
        <v>Jenny Gill</v>
      </c>
      <c r="L384" t="str">
        <f>VLOOKUP(Call_Center_Data[[#This Row],[Call Type ID]], Call_Type[], 2, FALSE)</f>
        <v>Tech Sup</v>
      </c>
    </row>
    <row r="385" spans="1:12" x14ac:dyDescent="0.3">
      <c r="A385">
        <v>384</v>
      </c>
      <c r="B385">
        <v>3</v>
      </c>
      <c r="C385" s="1">
        <v>44978</v>
      </c>
      <c r="D385" s="2" t="s">
        <v>79</v>
      </c>
      <c r="E385">
        <v>1</v>
      </c>
      <c r="F385">
        <v>28</v>
      </c>
      <c r="G385">
        <v>138</v>
      </c>
      <c r="H385">
        <v>147</v>
      </c>
      <c r="I385" t="str">
        <f>VLOOKUP(Call_Center_Data[[#This Row],[Emp ID]],Employee[],2,FALSE)</f>
        <v>Gina Simons</v>
      </c>
      <c r="J385" t="str">
        <f>VLOOKUP(Call_Center_Data[[#This Row],[Emp ID]], Employee[], 3, FALSE)</f>
        <v>Spokane, WA</v>
      </c>
      <c r="K385" t="str">
        <f>VLOOKUP(Call_Center_Data[[#This Row],[Emp ID]], Employee[], 4, FALSE)</f>
        <v>John Rhodes</v>
      </c>
      <c r="L385" t="str">
        <f>VLOOKUP(Call_Center_Data[[#This Row],[Call Type ID]], Call_Type[], 2, FALSE)</f>
        <v>Tech Sup</v>
      </c>
    </row>
    <row r="386" spans="1:12" x14ac:dyDescent="0.3">
      <c r="A386">
        <v>385</v>
      </c>
      <c r="B386">
        <v>3</v>
      </c>
      <c r="C386" s="1">
        <v>44979</v>
      </c>
      <c r="D386" s="2" t="s">
        <v>81</v>
      </c>
      <c r="E386">
        <v>0</v>
      </c>
      <c r="F386">
        <v>31</v>
      </c>
      <c r="G386">
        <v>144</v>
      </c>
      <c r="H386">
        <v>220</v>
      </c>
      <c r="I386" t="str">
        <f>VLOOKUP(Call_Center_Data[[#This Row],[Emp ID]],Employee[],2,FALSE)</f>
        <v>Sam Simons</v>
      </c>
      <c r="J386" t="str">
        <f>VLOOKUP(Call_Center_Data[[#This Row],[Emp ID]], Employee[], 3, FALSE)</f>
        <v>Jacksonville, WA</v>
      </c>
      <c r="K386" t="str">
        <f>VLOOKUP(Call_Center_Data[[#This Row],[Emp ID]], Employee[], 4, FALSE)</f>
        <v>John Baas</v>
      </c>
      <c r="L386" t="str">
        <f>VLOOKUP(Call_Center_Data[[#This Row],[Call Type ID]], Call_Type[], 2, FALSE)</f>
        <v>Tech Sup</v>
      </c>
    </row>
    <row r="387" spans="1:12" x14ac:dyDescent="0.3">
      <c r="A387">
        <v>386</v>
      </c>
      <c r="B387">
        <v>3</v>
      </c>
      <c r="C387" s="1">
        <v>44980</v>
      </c>
      <c r="D387" s="2" t="s">
        <v>78</v>
      </c>
      <c r="E387">
        <v>1</v>
      </c>
      <c r="F387">
        <v>28</v>
      </c>
      <c r="G387">
        <v>133</v>
      </c>
      <c r="H387">
        <v>293</v>
      </c>
      <c r="I387" t="str">
        <f>VLOOKUP(Call_Center_Data[[#This Row],[Emp ID]],Employee[],2,FALSE)</f>
        <v>Jill Saab</v>
      </c>
      <c r="J387" t="str">
        <f>VLOOKUP(Call_Center_Data[[#This Row],[Emp ID]], Employee[], 3, FALSE)</f>
        <v>Spokane, WA</v>
      </c>
      <c r="K387" t="str">
        <f>VLOOKUP(Call_Center_Data[[#This Row],[Emp ID]], Employee[], 4, FALSE)</f>
        <v>Timmy Gill</v>
      </c>
      <c r="L387" t="str">
        <f>VLOOKUP(Call_Center_Data[[#This Row],[Call Type ID]], Call_Type[], 2, FALSE)</f>
        <v>Tech Sup</v>
      </c>
    </row>
    <row r="388" spans="1:12" x14ac:dyDescent="0.3">
      <c r="A388">
        <v>387</v>
      </c>
      <c r="B388">
        <v>3</v>
      </c>
      <c r="C388" s="1">
        <v>44981</v>
      </c>
      <c r="D388" s="2" t="s">
        <v>85</v>
      </c>
      <c r="E388">
        <v>0</v>
      </c>
      <c r="F388">
        <v>35</v>
      </c>
      <c r="G388">
        <v>159</v>
      </c>
      <c r="H388">
        <v>281</v>
      </c>
      <c r="I388" t="str">
        <f>VLOOKUP(Call_Center_Data[[#This Row],[Emp ID]],Employee[],2,FALSE)</f>
        <v>Tina Gilder</v>
      </c>
      <c r="J388" t="str">
        <f>VLOOKUP(Call_Center_Data[[#This Row],[Emp ID]], Employee[], 3, FALSE)</f>
        <v>Spokane, WA</v>
      </c>
      <c r="K388" t="str">
        <f>VLOOKUP(Call_Center_Data[[#This Row],[Emp ID]], Employee[], 4, FALSE)</f>
        <v>Timmy Baas</v>
      </c>
      <c r="L388" t="str">
        <f>VLOOKUP(Call_Center_Data[[#This Row],[Call Type ID]], Call_Type[], 2, FALSE)</f>
        <v>Tech Sup</v>
      </c>
    </row>
    <row r="389" spans="1:12" x14ac:dyDescent="0.3">
      <c r="A389">
        <v>388</v>
      </c>
      <c r="B389">
        <v>1</v>
      </c>
      <c r="C389" s="1">
        <v>44982</v>
      </c>
      <c r="D389" s="2" t="s">
        <v>86</v>
      </c>
      <c r="E389">
        <v>1</v>
      </c>
      <c r="F389">
        <v>35</v>
      </c>
      <c r="G389">
        <v>143</v>
      </c>
      <c r="H389">
        <v>338</v>
      </c>
      <c r="I389" t="str">
        <f>VLOOKUP(Call_Center_Data[[#This Row],[Emp ID]],Employee[],2,FALSE)</f>
        <v>Jill Gilder</v>
      </c>
      <c r="J389" t="str">
        <f>VLOOKUP(Call_Center_Data[[#This Row],[Emp ID]], Employee[], 3, FALSE)</f>
        <v>Aurora, CO</v>
      </c>
      <c r="K389" t="str">
        <f>VLOOKUP(Call_Center_Data[[#This Row],[Emp ID]], Employee[], 4, FALSE)</f>
        <v>Jenny Baas</v>
      </c>
      <c r="L389" t="str">
        <f>VLOOKUP(Call_Center_Data[[#This Row],[Call Type ID]], Call_Type[], 2, FALSE)</f>
        <v>Billing</v>
      </c>
    </row>
    <row r="390" spans="1:12" x14ac:dyDescent="0.3">
      <c r="A390">
        <v>389</v>
      </c>
      <c r="B390">
        <v>3</v>
      </c>
      <c r="C390" s="1">
        <v>44983</v>
      </c>
      <c r="D390" s="2" t="s">
        <v>66</v>
      </c>
      <c r="E390">
        <v>1</v>
      </c>
      <c r="F390">
        <v>33</v>
      </c>
      <c r="G390">
        <v>145</v>
      </c>
      <c r="H390">
        <v>272</v>
      </c>
      <c r="I390" t="str">
        <f>VLOOKUP(Call_Center_Data[[#This Row],[Emp ID]],Employee[],2,FALSE)</f>
        <v>Tina John</v>
      </c>
      <c r="J390" t="str">
        <f>VLOOKUP(Call_Center_Data[[#This Row],[Emp ID]], Employee[], 3, FALSE)</f>
        <v>Aurora, CO</v>
      </c>
      <c r="K390" t="str">
        <f>VLOOKUP(Call_Center_Data[[#This Row],[Emp ID]], Employee[], 4, FALSE)</f>
        <v>Timmy Rhodes</v>
      </c>
      <c r="L390" t="str">
        <f>VLOOKUP(Call_Center_Data[[#This Row],[Call Type ID]], Call_Type[], 2, FALSE)</f>
        <v>Tech Sup</v>
      </c>
    </row>
    <row r="391" spans="1:12" x14ac:dyDescent="0.3">
      <c r="A391">
        <v>390</v>
      </c>
      <c r="B391">
        <v>3</v>
      </c>
      <c r="C391" s="1">
        <v>44984</v>
      </c>
      <c r="D391" s="2" t="s">
        <v>83</v>
      </c>
      <c r="E391">
        <v>0</v>
      </c>
      <c r="F391">
        <v>40</v>
      </c>
      <c r="G391">
        <v>160</v>
      </c>
      <c r="H391">
        <v>192</v>
      </c>
      <c r="I391" t="str">
        <f>VLOOKUP(Call_Center_Data[[#This Row],[Emp ID]],Employee[],2,FALSE)</f>
        <v>Ultor Simons</v>
      </c>
      <c r="J391" t="str">
        <f>VLOOKUP(Call_Center_Data[[#This Row],[Emp ID]], Employee[], 3, FALSE)</f>
        <v>Jacksonville, WA</v>
      </c>
      <c r="K391" t="str">
        <f>VLOOKUP(Call_Center_Data[[#This Row],[Emp ID]], Employee[], 4, FALSE)</f>
        <v>Pierce Hall</v>
      </c>
      <c r="L391" t="str">
        <f>VLOOKUP(Call_Center_Data[[#This Row],[Call Type ID]], Call_Type[], 2, FALSE)</f>
        <v>Tech Sup</v>
      </c>
    </row>
    <row r="392" spans="1:12" x14ac:dyDescent="0.3">
      <c r="A392">
        <v>391</v>
      </c>
      <c r="B392">
        <v>1</v>
      </c>
      <c r="C392" s="1">
        <v>44985</v>
      </c>
      <c r="D392" s="2" t="s">
        <v>87</v>
      </c>
      <c r="E392">
        <v>0</v>
      </c>
      <c r="F392">
        <v>31</v>
      </c>
      <c r="G392">
        <v>143</v>
      </c>
      <c r="H392">
        <v>170</v>
      </c>
      <c r="I392" t="str">
        <f>VLOOKUP(Call_Center_Data[[#This Row],[Emp ID]],Employee[],2,FALSE)</f>
        <v>Gina Saab</v>
      </c>
      <c r="J392" t="str">
        <f>VLOOKUP(Call_Center_Data[[#This Row],[Emp ID]], Employee[], 3, FALSE)</f>
        <v>Jacksonville, WA</v>
      </c>
      <c r="K392" t="str">
        <f>VLOOKUP(Call_Center_Data[[#This Row],[Emp ID]], Employee[], 4, FALSE)</f>
        <v>Jenny Gill</v>
      </c>
      <c r="L392" t="str">
        <f>VLOOKUP(Call_Center_Data[[#This Row],[Call Type ID]], Call_Type[], 2, FALSE)</f>
        <v>Billing</v>
      </c>
    </row>
    <row r="393" spans="1:12" x14ac:dyDescent="0.3">
      <c r="A393">
        <v>392</v>
      </c>
      <c r="B393">
        <v>3</v>
      </c>
      <c r="C393" s="1">
        <v>44986</v>
      </c>
      <c r="D393" s="2" t="s">
        <v>77</v>
      </c>
      <c r="E393">
        <v>1</v>
      </c>
      <c r="F393">
        <v>27</v>
      </c>
      <c r="G393">
        <v>144</v>
      </c>
      <c r="H393">
        <v>388</v>
      </c>
      <c r="I393" t="str">
        <f>VLOOKUP(Call_Center_Data[[#This Row],[Emp ID]],Employee[],2,FALSE)</f>
        <v>Sam Saab</v>
      </c>
      <c r="J393" t="str">
        <f>VLOOKUP(Call_Center_Data[[#This Row],[Emp ID]], Employee[], 3, FALSE)</f>
        <v>Aurora, CO</v>
      </c>
      <c r="K393" t="str">
        <f>VLOOKUP(Call_Center_Data[[#This Row],[Emp ID]], Employee[], 4, FALSE)</f>
        <v>Timmy Mack</v>
      </c>
      <c r="L393" t="str">
        <f>VLOOKUP(Call_Center_Data[[#This Row],[Call Type ID]], Call_Type[], 2, FALSE)</f>
        <v>Tech Sup</v>
      </c>
    </row>
    <row r="394" spans="1:12" x14ac:dyDescent="0.3">
      <c r="A394">
        <v>393</v>
      </c>
      <c r="B394">
        <v>2</v>
      </c>
      <c r="C394" s="1">
        <v>44987</v>
      </c>
      <c r="D394" s="2" t="s">
        <v>79</v>
      </c>
      <c r="E394">
        <v>0</v>
      </c>
      <c r="F394">
        <v>27</v>
      </c>
      <c r="G394">
        <v>135</v>
      </c>
      <c r="H394">
        <v>107</v>
      </c>
      <c r="I394" t="str">
        <f>VLOOKUP(Call_Center_Data[[#This Row],[Emp ID]],Employee[],2,FALSE)</f>
        <v>Gina Simons</v>
      </c>
      <c r="J394" t="str">
        <f>VLOOKUP(Call_Center_Data[[#This Row],[Emp ID]], Employee[], 3, FALSE)</f>
        <v>Spokane, WA</v>
      </c>
      <c r="K394" t="str">
        <f>VLOOKUP(Call_Center_Data[[#This Row],[Emp ID]], Employee[], 4, FALSE)</f>
        <v>John Rhodes</v>
      </c>
      <c r="L394" t="str">
        <f>VLOOKUP(Call_Center_Data[[#This Row],[Call Type ID]], Call_Type[], 2, FALSE)</f>
        <v>Sales</v>
      </c>
    </row>
    <row r="395" spans="1:12" x14ac:dyDescent="0.3">
      <c r="A395">
        <v>394</v>
      </c>
      <c r="B395">
        <v>2</v>
      </c>
      <c r="C395" s="1">
        <v>44988</v>
      </c>
      <c r="D395" s="2" t="s">
        <v>86</v>
      </c>
      <c r="E395">
        <v>1</v>
      </c>
      <c r="F395">
        <v>29</v>
      </c>
      <c r="G395">
        <v>151</v>
      </c>
      <c r="H395">
        <v>220</v>
      </c>
      <c r="I395" t="str">
        <f>VLOOKUP(Call_Center_Data[[#This Row],[Emp ID]],Employee[],2,FALSE)</f>
        <v>Jill Gilder</v>
      </c>
      <c r="J395" t="str">
        <f>VLOOKUP(Call_Center_Data[[#This Row],[Emp ID]], Employee[], 3, FALSE)</f>
        <v>Aurora, CO</v>
      </c>
      <c r="K395" t="str">
        <f>VLOOKUP(Call_Center_Data[[#This Row],[Emp ID]], Employee[], 4, FALSE)</f>
        <v>Jenny Baas</v>
      </c>
      <c r="L395" t="str">
        <f>VLOOKUP(Call_Center_Data[[#This Row],[Call Type ID]], Call_Type[], 2, FALSE)</f>
        <v>Sales</v>
      </c>
    </row>
    <row r="396" spans="1:12" x14ac:dyDescent="0.3">
      <c r="A396">
        <v>395</v>
      </c>
      <c r="B396">
        <v>3</v>
      </c>
      <c r="C396" s="1">
        <v>44989</v>
      </c>
      <c r="D396" s="2" t="s">
        <v>82</v>
      </c>
      <c r="E396">
        <v>0</v>
      </c>
      <c r="F396">
        <v>26</v>
      </c>
      <c r="G396">
        <v>142</v>
      </c>
      <c r="H396">
        <v>356</v>
      </c>
      <c r="I396" t="str">
        <f>VLOOKUP(Call_Center_Data[[#This Row],[Emp ID]],Employee[],2,FALSE)</f>
        <v>Ultor Gilder</v>
      </c>
      <c r="J396" t="str">
        <f>VLOOKUP(Call_Center_Data[[#This Row],[Emp ID]], Employee[], 3, FALSE)</f>
        <v>Aurora, CO</v>
      </c>
      <c r="K396" t="str">
        <f>VLOOKUP(Call_Center_Data[[#This Row],[Emp ID]], Employee[], 4, FALSE)</f>
        <v>Pierce Mack</v>
      </c>
      <c r="L396" t="str">
        <f>VLOOKUP(Call_Center_Data[[#This Row],[Call Type ID]], Call_Type[], 2, FALSE)</f>
        <v>Tech Sup</v>
      </c>
    </row>
    <row r="397" spans="1:12" x14ac:dyDescent="0.3">
      <c r="A397">
        <v>396</v>
      </c>
      <c r="B397">
        <v>3</v>
      </c>
      <c r="C397" s="1">
        <v>44990</v>
      </c>
      <c r="D397" s="2" t="s">
        <v>72</v>
      </c>
      <c r="E397">
        <v>1</v>
      </c>
      <c r="F397">
        <v>26</v>
      </c>
      <c r="G397">
        <v>144</v>
      </c>
      <c r="H397">
        <v>319</v>
      </c>
      <c r="I397" t="str">
        <f>VLOOKUP(Call_Center_Data[[#This Row],[Emp ID]],Employee[],2,FALSE)</f>
        <v>Ultor Pat</v>
      </c>
      <c r="J397" t="str">
        <f>VLOOKUP(Call_Center_Data[[#This Row],[Emp ID]], Employee[], 3, FALSE)</f>
        <v>Jacksonville, WA</v>
      </c>
      <c r="K397" t="str">
        <f>VLOOKUP(Call_Center_Data[[#This Row],[Emp ID]], Employee[], 4, FALSE)</f>
        <v>Jenny Hall</v>
      </c>
      <c r="L397" t="str">
        <f>VLOOKUP(Call_Center_Data[[#This Row],[Call Type ID]], Call_Type[], 2, FALSE)</f>
        <v>Tech Sup</v>
      </c>
    </row>
    <row r="398" spans="1:12" x14ac:dyDescent="0.3">
      <c r="A398">
        <v>397</v>
      </c>
      <c r="B398">
        <v>1</v>
      </c>
      <c r="C398" s="1">
        <v>44991</v>
      </c>
      <c r="D398" s="2" t="s">
        <v>88</v>
      </c>
      <c r="E398">
        <v>1</v>
      </c>
      <c r="F398">
        <v>8</v>
      </c>
      <c r="G398">
        <v>130</v>
      </c>
      <c r="H398">
        <v>47</v>
      </c>
      <c r="I398" t="str">
        <f>VLOOKUP(Call_Center_Data[[#This Row],[Emp ID]],Employee[],2,FALSE)</f>
        <v>Gina Gilder</v>
      </c>
      <c r="J398" t="str">
        <f>VLOOKUP(Call_Center_Data[[#This Row],[Emp ID]], Employee[], 3, FALSE)</f>
        <v>Jacksonville, WA</v>
      </c>
      <c r="K398" t="str">
        <f>VLOOKUP(Call_Center_Data[[#This Row],[Emp ID]], Employee[], 4, FALSE)</f>
        <v>Pierce Rhodes</v>
      </c>
      <c r="L398" t="str">
        <f>VLOOKUP(Call_Center_Data[[#This Row],[Call Type ID]], Call_Type[], 2, FALSE)</f>
        <v>Billing</v>
      </c>
    </row>
    <row r="399" spans="1:12" x14ac:dyDescent="0.3">
      <c r="A399">
        <v>398</v>
      </c>
      <c r="B399">
        <v>2</v>
      </c>
      <c r="C399" s="1">
        <v>44992</v>
      </c>
      <c r="D399" s="2" t="s">
        <v>87</v>
      </c>
      <c r="E399">
        <v>1</v>
      </c>
      <c r="F399">
        <v>35</v>
      </c>
      <c r="G399">
        <v>146</v>
      </c>
      <c r="H399">
        <v>266</v>
      </c>
      <c r="I399" t="str">
        <f>VLOOKUP(Call_Center_Data[[#This Row],[Emp ID]],Employee[],2,FALSE)</f>
        <v>Gina Saab</v>
      </c>
      <c r="J399" t="str">
        <f>VLOOKUP(Call_Center_Data[[#This Row],[Emp ID]], Employee[], 3, FALSE)</f>
        <v>Jacksonville, WA</v>
      </c>
      <c r="K399" t="str">
        <f>VLOOKUP(Call_Center_Data[[#This Row],[Emp ID]], Employee[], 4, FALSE)</f>
        <v>Jenny Gill</v>
      </c>
      <c r="L399" t="str">
        <f>VLOOKUP(Call_Center_Data[[#This Row],[Call Type ID]], Call_Type[], 2, FALSE)</f>
        <v>Sales</v>
      </c>
    </row>
    <row r="400" spans="1:12" x14ac:dyDescent="0.3">
      <c r="A400">
        <v>399</v>
      </c>
      <c r="B400">
        <v>3</v>
      </c>
      <c r="C400" s="1">
        <v>44993</v>
      </c>
      <c r="D400" s="2" t="s">
        <v>65</v>
      </c>
      <c r="E400">
        <v>0</v>
      </c>
      <c r="F400">
        <v>19</v>
      </c>
      <c r="G400">
        <v>137</v>
      </c>
      <c r="H400">
        <v>223</v>
      </c>
      <c r="I400" t="str">
        <f>VLOOKUP(Call_Center_Data[[#This Row],[Emp ID]],Employee[],2,FALSE)</f>
        <v>Ultor John</v>
      </c>
      <c r="J400" t="str">
        <f>VLOOKUP(Call_Center_Data[[#This Row],[Emp ID]], Employee[], 3, FALSE)</f>
        <v>Spokane, WA</v>
      </c>
      <c r="K400" t="str">
        <f>VLOOKUP(Call_Center_Data[[#This Row],[Emp ID]], Employee[], 4, FALSE)</f>
        <v>John Mack</v>
      </c>
      <c r="L400" t="str">
        <f>VLOOKUP(Call_Center_Data[[#This Row],[Call Type ID]], Call_Type[], 2, FALSE)</f>
        <v>Tech Sup</v>
      </c>
    </row>
    <row r="401" spans="1:12" x14ac:dyDescent="0.3">
      <c r="A401">
        <v>400</v>
      </c>
      <c r="B401">
        <v>3</v>
      </c>
      <c r="C401" s="1">
        <v>44994</v>
      </c>
      <c r="D401" s="2" t="s">
        <v>66</v>
      </c>
      <c r="E401">
        <v>0</v>
      </c>
      <c r="F401">
        <v>22</v>
      </c>
      <c r="G401">
        <v>148</v>
      </c>
      <c r="H401">
        <v>221</v>
      </c>
      <c r="I401" t="str">
        <f>VLOOKUP(Call_Center_Data[[#This Row],[Emp ID]],Employee[],2,FALSE)</f>
        <v>Tina John</v>
      </c>
      <c r="J401" t="str">
        <f>VLOOKUP(Call_Center_Data[[#This Row],[Emp ID]], Employee[], 3, FALSE)</f>
        <v>Aurora, CO</v>
      </c>
      <c r="K401" t="str">
        <f>VLOOKUP(Call_Center_Data[[#This Row],[Emp ID]], Employee[], 4, FALSE)</f>
        <v>Timmy Rhodes</v>
      </c>
      <c r="L401" t="str">
        <f>VLOOKUP(Call_Center_Data[[#This Row],[Call Type ID]], Call_Type[], 2, FALSE)</f>
        <v>Tech Sup</v>
      </c>
    </row>
    <row r="402" spans="1:12" x14ac:dyDescent="0.3">
      <c r="A402">
        <v>401</v>
      </c>
      <c r="B402">
        <v>2</v>
      </c>
      <c r="C402" s="1">
        <v>44995</v>
      </c>
      <c r="D402" s="2" t="s">
        <v>82</v>
      </c>
      <c r="E402">
        <v>0</v>
      </c>
      <c r="F402">
        <v>26</v>
      </c>
      <c r="G402">
        <v>127</v>
      </c>
      <c r="H402">
        <v>232</v>
      </c>
      <c r="I402" t="str">
        <f>VLOOKUP(Call_Center_Data[[#This Row],[Emp ID]],Employee[],2,FALSE)</f>
        <v>Ultor Gilder</v>
      </c>
      <c r="J402" t="str">
        <f>VLOOKUP(Call_Center_Data[[#This Row],[Emp ID]], Employee[], 3, FALSE)</f>
        <v>Aurora, CO</v>
      </c>
      <c r="K402" t="str">
        <f>VLOOKUP(Call_Center_Data[[#This Row],[Emp ID]], Employee[], 4, FALSE)</f>
        <v>Pierce Mack</v>
      </c>
      <c r="L402" t="str">
        <f>VLOOKUP(Call_Center_Data[[#This Row],[Call Type ID]], Call_Type[], 2, FALSE)</f>
        <v>Sales</v>
      </c>
    </row>
    <row r="403" spans="1:12" x14ac:dyDescent="0.3">
      <c r="A403">
        <v>402</v>
      </c>
      <c r="B403">
        <v>2</v>
      </c>
      <c r="C403" s="1">
        <v>44996</v>
      </c>
      <c r="D403" s="2" t="s">
        <v>80</v>
      </c>
      <c r="E403">
        <v>0</v>
      </c>
      <c r="F403">
        <v>12</v>
      </c>
      <c r="G403">
        <v>139</v>
      </c>
      <c r="H403">
        <v>79</v>
      </c>
      <c r="I403" t="str">
        <f>VLOOKUP(Call_Center_Data[[#This Row],[Emp ID]],Employee[],2,FALSE)</f>
        <v>Tina Simons</v>
      </c>
      <c r="J403" t="str">
        <f>VLOOKUP(Call_Center_Data[[#This Row],[Emp ID]], Employee[], 3, FALSE)</f>
        <v>Aurora, CO</v>
      </c>
      <c r="K403" t="str">
        <f>VLOOKUP(Call_Center_Data[[#This Row],[Emp ID]], Employee[], 4, FALSE)</f>
        <v>Pierce Gill</v>
      </c>
      <c r="L403" t="str">
        <f>VLOOKUP(Call_Center_Data[[#This Row],[Call Type ID]], Call_Type[], 2, FALSE)</f>
        <v>Sales</v>
      </c>
    </row>
    <row r="404" spans="1:12" x14ac:dyDescent="0.3">
      <c r="A404">
        <v>403</v>
      </c>
      <c r="B404">
        <v>1</v>
      </c>
      <c r="C404" s="1">
        <v>44997</v>
      </c>
      <c r="D404" s="2" t="s">
        <v>74</v>
      </c>
      <c r="E404">
        <v>1</v>
      </c>
      <c r="F404">
        <v>33</v>
      </c>
      <c r="G404">
        <v>157</v>
      </c>
      <c r="H404">
        <v>241</v>
      </c>
      <c r="I404" t="str">
        <f>VLOOKUP(Call_Center_Data[[#This Row],[Emp ID]],Employee[],2,FALSE)</f>
        <v>Gina John</v>
      </c>
      <c r="J404" t="str">
        <f>VLOOKUP(Call_Center_Data[[#This Row],[Emp ID]], Employee[], 3, FALSE)</f>
        <v>Jacksonville, WA</v>
      </c>
      <c r="K404" t="str">
        <f>VLOOKUP(Call_Center_Data[[#This Row],[Emp ID]], Employee[], 4, FALSE)</f>
        <v>Henry Gill</v>
      </c>
      <c r="L404" t="str">
        <f>VLOOKUP(Call_Center_Data[[#This Row],[Call Type ID]], Call_Type[], 2, FALSE)</f>
        <v>Billing</v>
      </c>
    </row>
    <row r="405" spans="1:12" x14ac:dyDescent="0.3">
      <c r="A405">
        <v>404</v>
      </c>
      <c r="B405">
        <v>2</v>
      </c>
      <c r="C405" s="1">
        <v>44998</v>
      </c>
      <c r="D405" s="2" t="s">
        <v>64</v>
      </c>
      <c r="E405">
        <v>0</v>
      </c>
      <c r="F405">
        <v>19</v>
      </c>
      <c r="G405">
        <v>141</v>
      </c>
      <c r="H405">
        <v>92</v>
      </c>
      <c r="I405" t="str">
        <f>VLOOKUP(Call_Center_Data[[#This Row],[Emp ID]],Employee[],2,FALSE)</f>
        <v>Jill Simons</v>
      </c>
      <c r="J405" t="str">
        <f>VLOOKUP(Call_Center_Data[[#This Row],[Emp ID]], Employee[], 3, FALSE)</f>
        <v>Spokane, WA</v>
      </c>
      <c r="K405" t="str">
        <f>VLOOKUP(Call_Center_Data[[#This Row],[Emp ID]], Employee[], 4, FALSE)</f>
        <v>Jenny Rhodes</v>
      </c>
      <c r="L405" t="str">
        <f>VLOOKUP(Call_Center_Data[[#This Row],[Call Type ID]], Call_Type[], 2, FALSE)</f>
        <v>Sales</v>
      </c>
    </row>
    <row r="406" spans="1:12" x14ac:dyDescent="0.3">
      <c r="A406">
        <v>405</v>
      </c>
      <c r="B406">
        <v>2</v>
      </c>
      <c r="C406" s="1">
        <v>44999</v>
      </c>
      <c r="D406" s="2" t="s">
        <v>83</v>
      </c>
      <c r="E406">
        <v>0</v>
      </c>
      <c r="F406">
        <v>13</v>
      </c>
      <c r="G406">
        <v>153</v>
      </c>
      <c r="H406">
        <v>133</v>
      </c>
      <c r="I406" t="str">
        <f>VLOOKUP(Call_Center_Data[[#This Row],[Emp ID]],Employee[],2,FALSE)</f>
        <v>Ultor Simons</v>
      </c>
      <c r="J406" t="str">
        <f>VLOOKUP(Call_Center_Data[[#This Row],[Emp ID]], Employee[], 3, FALSE)</f>
        <v>Jacksonville, WA</v>
      </c>
      <c r="K406" t="str">
        <f>VLOOKUP(Call_Center_Data[[#This Row],[Emp ID]], Employee[], 4, FALSE)</f>
        <v>Pierce Hall</v>
      </c>
      <c r="L406" t="str">
        <f>VLOOKUP(Call_Center_Data[[#This Row],[Call Type ID]], Call_Type[], 2, FALSE)</f>
        <v>Sales</v>
      </c>
    </row>
    <row r="407" spans="1:12" x14ac:dyDescent="0.3">
      <c r="A407">
        <v>406</v>
      </c>
      <c r="B407">
        <v>2</v>
      </c>
      <c r="C407" s="1">
        <v>45000</v>
      </c>
      <c r="D407" s="2" t="s">
        <v>78</v>
      </c>
      <c r="E407">
        <v>0</v>
      </c>
      <c r="F407">
        <v>12</v>
      </c>
      <c r="G407">
        <v>94</v>
      </c>
      <c r="H407">
        <v>102</v>
      </c>
      <c r="I407" t="str">
        <f>VLOOKUP(Call_Center_Data[[#This Row],[Emp ID]],Employee[],2,FALSE)</f>
        <v>Jill Saab</v>
      </c>
      <c r="J407" t="str">
        <f>VLOOKUP(Call_Center_Data[[#This Row],[Emp ID]], Employee[], 3, FALSE)</f>
        <v>Spokane, WA</v>
      </c>
      <c r="K407" t="str">
        <f>VLOOKUP(Call_Center_Data[[#This Row],[Emp ID]], Employee[], 4, FALSE)</f>
        <v>Timmy Gill</v>
      </c>
      <c r="L407" t="str">
        <f>VLOOKUP(Call_Center_Data[[#This Row],[Call Type ID]], Call_Type[], 2, FALSE)</f>
        <v>Sales</v>
      </c>
    </row>
    <row r="408" spans="1:12" x14ac:dyDescent="0.3">
      <c r="A408">
        <v>407</v>
      </c>
      <c r="B408">
        <v>2</v>
      </c>
      <c r="C408" s="1">
        <v>45001</v>
      </c>
      <c r="D408" s="2" t="s">
        <v>84</v>
      </c>
      <c r="E408">
        <v>1</v>
      </c>
      <c r="F408">
        <v>14</v>
      </c>
      <c r="G408">
        <v>162</v>
      </c>
      <c r="H408">
        <v>73</v>
      </c>
      <c r="I408" t="str">
        <f>VLOOKUP(Call_Center_Data[[#This Row],[Emp ID]],Employee[],2,FALSE)</f>
        <v>Sam John</v>
      </c>
      <c r="J408" t="str">
        <f>VLOOKUP(Call_Center_Data[[#This Row],[Emp ID]], Employee[], 3, FALSE)</f>
        <v>Aurora, CO</v>
      </c>
      <c r="K408" t="str">
        <f>VLOOKUP(Call_Center_Data[[#This Row],[Emp ID]], Employee[], 4, FALSE)</f>
        <v>Jenny Mack</v>
      </c>
      <c r="L408" t="str">
        <f>VLOOKUP(Call_Center_Data[[#This Row],[Call Type ID]], Call_Type[], 2, FALSE)</f>
        <v>Sales</v>
      </c>
    </row>
    <row r="409" spans="1:12" x14ac:dyDescent="0.3">
      <c r="A409">
        <v>408</v>
      </c>
      <c r="B409">
        <v>3</v>
      </c>
      <c r="C409" s="1">
        <v>45002</v>
      </c>
      <c r="D409" s="2" t="s">
        <v>78</v>
      </c>
      <c r="E409">
        <v>0</v>
      </c>
      <c r="F409">
        <v>22</v>
      </c>
      <c r="G409">
        <v>146</v>
      </c>
      <c r="H409">
        <v>150</v>
      </c>
      <c r="I409" t="str">
        <f>VLOOKUP(Call_Center_Data[[#This Row],[Emp ID]],Employee[],2,FALSE)</f>
        <v>Jill Saab</v>
      </c>
      <c r="J409" t="str">
        <f>VLOOKUP(Call_Center_Data[[#This Row],[Emp ID]], Employee[], 3, FALSE)</f>
        <v>Spokane, WA</v>
      </c>
      <c r="K409" t="str">
        <f>VLOOKUP(Call_Center_Data[[#This Row],[Emp ID]], Employee[], 4, FALSE)</f>
        <v>Timmy Gill</v>
      </c>
      <c r="L409" t="str">
        <f>VLOOKUP(Call_Center_Data[[#This Row],[Call Type ID]], Call_Type[], 2, FALSE)</f>
        <v>Tech Sup</v>
      </c>
    </row>
    <row r="410" spans="1:12" x14ac:dyDescent="0.3">
      <c r="A410">
        <v>409</v>
      </c>
      <c r="B410">
        <v>1</v>
      </c>
      <c r="C410" s="1">
        <v>45003</v>
      </c>
      <c r="D410" s="2" t="s">
        <v>74</v>
      </c>
      <c r="E410">
        <v>1</v>
      </c>
      <c r="F410">
        <v>35</v>
      </c>
      <c r="G410">
        <v>154</v>
      </c>
      <c r="H410">
        <v>190</v>
      </c>
      <c r="I410" t="str">
        <f>VLOOKUP(Call_Center_Data[[#This Row],[Emp ID]],Employee[],2,FALSE)</f>
        <v>Gina John</v>
      </c>
      <c r="J410" t="str">
        <f>VLOOKUP(Call_Center_Data[[#This Row],[Emp ID]], Employee[], 3, FALSE)</f>
        <v>Jacksonville, WA</v>
      </c>
      <c r="K410" t="str">
        <f>VLOOKUP(Call_Center_Data[[#This Row],[Emp ID]], Employee[], 4, FALSE)</f>
        <v>Henry Gill</v>
      </c>
      <c r="L410" t="str">
        <f>VLOOKUP(Call_Center_Data[[#This Row],[Call Type ID]], Call_Type[], 2, FALSE)</f>
        <v>Billing</v>
      </c>
    </row>
    <row r="411" spans="1:12" x14ac:dyDescent="0.3">
      <c r="A411">
        <v>410</v>
      </c>
      <c r="B411">
        <v>1</v>
      </c>
      <c r="C411" s="1">
        <v>45004</v>
      </c>
      <c r="D411" s="2" t="s">
        <v>67</v>
      </c>
      <c r="E411">
        <v>0</v>
      </c>
      <c r="F411">
        <v>36</v>
      </c>
      <c r="G411">
        <v>147</v>
      </c>
      <c r="H411">
        <v>275</v>
      </c>
      <c r="I411" t="str">
        <f>VLOOKUP(Call_Center_Data[[#This Row],[Emp ID]],Employee[],2,FALSE)</f>
        <v>Tina Pat</v>
      </c>
      <c r="J411" t="str">
        <f>VLOOKUP(Call_Center_Data[[#This Row],[Emp ID]], Employee[], 3, FALSE)</f>
        <v>Jacksonville, WA</v>
      </c>
      <c r="K411" t="str">
        <f>VLOOKUP(Call_Center_Data[[#This Row],[Emp ID]], Employee[], 4, FALSE)</f>
        <v>John Hall</v>
      </c>
      <c r="L411" t="str">
        <f>VLOOKUP(Call_Center_Data[[#This Row],[Call Type ID]], Call_Type[], 2, FALSE)</f>
        <v>Billing</v>
      </c>
    </row>
    <row r="412" spans="1:12" x14ac:dyDescent="0.3">
      <c r="A412">
        <v>411</v>
      </c>
      <c r="B412">
        <v>3</v>
      </c>
      <c r="C412" s="1">
        <v>45005</v>
      </c>
      <c r="D412" s="2" t="s">
        <v>64</v>
      </c>
      <c r="E412">
        <v>1</v>
      </c>
      <c r="F412">
        <v>47</v>
      </c>
      <c r="G412">
        <v>156</v>
      </c>
      <c r="H412">
        <v>142</v>
      </c>
      <c r="I412" t="str">
        <f>VLOOKUP(Call_Center_Data[[#This Row],[Emp ID]],Employee[],2,FALSE)</f>
        <v>Jill Simons</v>
      </c>
      <c r="J412" t="str">
        <f>VLOOKUP(Call_Center_Data[[#This Row],[Emp ID]], Employee[], 3, FALSE)</f>
        <v>Spokane, WA</v>
      </c>
      <c r="K412" t="str">
        <f>VLOOKUP(Call_Center_Data[[#This Row],[Emp ID]], Employee[], 4, FALSE)</f>
        <v>Jenny Rhodes</v>
      </c>
      <c r="L412" t="str">
        <f>VLOOKUP(Call_Center_Data[[#This Row],[Call Type ID]], Call_Type[], 2, FALSE)</f>
        <v>Tech Sup</v>
      </c>
    </row>
    <row r="413" spans="1:12" x14ac:dyDescent="0.3">
      <c r="A413">
        <v>412</v>
      </c>
      <c r="B413">
        <v>1</v>
      </c>
      <c r="C413" s="1">
        <v>45006</v>
      </c>
      <c r="D413" s="2" t="s">
        <v>72</v>
      </c>
      <c r="E413">
        <v>1</v>
      </c>
      <c r="F413">
        <v>29</v>
      </c>
      <c r="G413">
        <v>152</v>
      </c>
      <c r="H413">
        <v>131</v>
      </c>
      <c r="I413" t="str">
        <f>VLOOKUP(Call_Center_Data[[#This Row],[Emp ID]],Employee[],2,FALSE)</f>
        <v>Ultor Pat</v>
      </c>
      <c r="J413" t="str">
        <f>VLOOKUP(Call_Center_Data[[#This Row],[Emp ID]], Employee[], 3, FALSE)</f>
        <v>Jacksonville, WA</v>
      </c>
      <c r="K413" t="str">
        <f>VLOOKUP(Call_Center_Data[[#This Row],[Emp ID]], Employee[], 4, FALSE)</f>
        <v>Jenny Hall</v>
      </c>
      <c r="L413" t="str">
        <f>VLOOKUP(Call_Center_Data[[#This Row],[Call Type ID]], Call_Type[], 2, FALSE)</f>
        <v>Billing</v>
      </c>
    </row>
    <row r="414" spans="1:12" x14ac:dyDescent="0.3">
      <c r="A414">
        <v>413</v>
      </c>
      <c r="B414">
        <v>1</v>
      </c>
      <c r="C414" s="1">
        <v>45007</v>
      </c>
      <c r="D414" s="2" t="s">
        <v>64</v>
      </c>
      <c r="E414">
        <v>1</v>
      </c>
      <c r="F414">
        <v>46</v>
      </c>
      <c r="G414">
        <v>159</v>
      </c>
      <c r="H414">
        <v>265</v>
      </c>
      <c r="I414" t="str">
        <f>VLOOKUP(Call_Center_Data[[#This Row],[Emp ID]],Employee[],2,FALSE)</f>
        <v>Jill Simons</v>
      </c>
      <c r="J414" t="str">
        <f>VLOOKUP(Call_Center_Data[[#This Row],[Emp ID]], Employee[], 3, FALSE)</f>
        <v>Spokane, WA</v>
      </c>
      <c r="K414" t="str">
        <f>VLOOKUP(Call_Center_Data[[#This Row],[Emp ID]], Employee[], 4, FALSE)</f>
        <v>Jenny Rhodes</v>
      </c>
      <c r="L414" t="str">
        <f>VLOOKUP(Call_Center_Data[[#This Row],[Call Type ID]], Call_Type[], 2, FALSE)</f>
        <v>Billing</v>
      </c>
    </row>
    <row r="415" spans="1:12" x14ac:dyDescent="0.3">
      <c r="A415">
        <v>414</v>
      </c>
      <c r="B415">
        <v>3</v>
      </c>
      <c r="C415" s="1">
        <v>45008</v>
      </c>
      <c r="D415" s="2" t="s">
        <v>76</v>
      </c>
      <c r="E415">
        <v>0</v>
      </c>
      <c r="F415">
        <v>37</v>
      </c>
      <c r="G415">
        <v>158</v>
      </c>
      <c r="H415">
        <v>231</v>
      </c>
      <c r="I415" t="str">
        <f>VLOOKUP(Call_Center_Data[[#This Row],[Emp ID]],Employee[],2,FALSE)</f>
        <v>Ultor Saab</v>
      </c>
      <c r="J415" t="str">
        <f>VLOOKUP(Call_Center_Data[[#This Row],[Emp ID]], Employee[], 3, FALSE)</f>
        <v>Aurora, CO</v>
      </c>
      <c r="K415" t="str">
        <f>VLOOKUP(Call_Center_Data[[#This Row],[Emp ID]], Employee[], 4, FALSE)</f>
        <v>Pierce Baas</v>
      </c>
      <c r="L415" t="str">
        <f>VLOOKUP(Call_Center_Data[[#This Row],[Call Type ID]], Call_Type[], 2, FALSE)</f>
        <v>Tech Sup</v>
      </c>
    </row>
    <row r="416" spans="1:12" x14ac:dyDescent="0.3">
      <c r="A416">
        <v>415</v>
      </c>
      <c r="B416">
        <v>1</v>
      </c>
      <c r="C416" s="1">
        <v>45009</v>
      </c>
      <c r="D416" s="2" t="s">
        <v>86</v>
      </c>
      <c r="E416">
        <v>1</v>
      </c>
      <c r="F416">
        <v>28</v>
      </c>
      <c r="G416">
        <v>127</v>
      </c>
      <c r="H416">
        <v>170</v>
      </c>
      <c r="I416" t="str">
        <f>VLOOKUP(Call_Center_Data[[#This Row],[Emp ID]],Employee[],2,FALSE)</f>
        <v>Jill Gilder</v>
      </c>
      <c r="J416" t="str">
        <f>VLOOKUP(Call_Center_Data[[#This Row],[Emp ID]], Employee[], 3, FALSE)</f>
        <v>Aurora, CO</v>
      </c>
      <c r="K416" t="str">
        <f>VLOOKUP(Call_Center_Data[[#This Row],[Emp ID]], Employee[], 4, FALSE)</f>
        <v>Jenny Baas</v>
      </c>
      <c r="L416" t="str">
        <f>VLOOKUP(Call_Center_Data[[#This Row],[Call Type ID]], Call_Type[], 2, FALSE)</f>
        <v>Billing</v>
      </c>
    </row>
    <row r="417" spans="1:12" x14ac:dyDescent="0.3">
      <c r="A417">
        <v>416</v>
      </c>
      <c r="B417">
        <v>1</v>
      </c>
      <c r="C417" s="1">
        <v>45010</v>
      </c>
      <c r="D417" s="2" t="s">
        <v>81</v>
      </c>
      <c r="E417">
        <v>0</v>
      </c>
      <c r="F417">
        <v>22</v>
      </c>
      <c r="G417">
        <v>148</v>
      </c>
      <c r="H417">
        <v>251</v>
      </c>
      <c r="I417" t="str">
        <f>VLOOKUP(Call_Center_Data[[#This Row],[Emp ID]],Employee[],2,FALSE)</f>
        <v>Sam Simons</v>
      </c>
      <c r="J417" t="str">
        <f>VLOOKUP(Call_Center_Data[[#This Row],[Emp ID]], Employee[], 3, FALSE)</f>
        <v>Jacksonville, WA</v>
      </c>
      <c r="K417" t="str">
        <f>VLOOKUP(Call_Center_Data[[#This Row],[Emp ID]], Employee[], 4, FALSE)</f>
        <v>John Baas</v>
      </c>
      <c r="L417" t="str">
        <f>VLOOKUP(Call_Center_Data[[#This Row],[Call Type ID]], Call_Type[], 2, FALSE)</f>
        <v>Billing</v>
      </c>
    </row>
    <row r="418" spans="1:12" x14ac:dyDescent="0.3">
      <c r="A418">
        <v>417</v>
      </c>
      <c r="B418">
        <v>1</v>
      </c>
      <c r="C418" s="1">
        <v>45011</v>
      </c>
      <c r="D418" s="2" t="s">
        <v>73</v>
      </c>
      <c r="E418">
        <v>0</v>
      </c>
      <c r="F418">
        <v>31</v>
      </c>
      <c r="G418">
        <v>150</v>
      </c>
      <c r="H418">
        <v>304</v>
      </c>
      <c r="I418" t="str">
        <f>VLOOKUP(Call_Center_Data[[#This Row],[Emp ID]],Employee[],2,FALSE)</f>
        <v>Jill John</v>
      </c>
      <c r="J418" t="str">
        <f>VLOOKUP(Call_Center_Data[[#This Row],[Emp ID]], Employee[], 3, FALSE)</f>
        <v>Spokane, WA</v>
      </c>
      <c r="K418" t="str">
        <f>VLOOKUP(Call_Center_Data[[#This Row],[Emp ID]], Employee[], 4, FALSE)</f>
        <v>John Gill</v>
      </c>
      <c r="L418" t="str">
        <f>VLOOKUP(Call_Center_Data[[#This Row],[Call Type ID]], Call_Type[], 2, FALSE)</f>
        <v>Billing</v>
      </c>
    </row>
    <row r="419" spans="1:12" x14ac:dyDescent="0.3">
      <c r="A419">
        <v>418</v>
      </c>
      <c r="B419">
        <v>1</v>
      </c>
      <c r="C419" s="1">
        <v>45012</v>
      </c>
      <c r="D419" s="2" t="s">
        <v>88</v>
      </c>
      <c r="E419">
        <v>1</v>
      </c>
      <c r="F419">
        <v>60</v>
      </c>
      <c r="G419">
        <v>167</v>
      </c>
      <c r="H419">
        <v>286</v>
      </c>
      <c r="I419" t="str">
        <f>VLOOKUP(Call_Center_Data[[#This Row],[Emp ID]],Employee[],2,FALSE)</f>
        <v>Gina Gilder</v>
      </c>
      <c r="J419" t="str">
        <f>VLOOKUP(Call_Center_Data[[#This Row],[Emp ID]], Employee[], 3, FALSE)</f>
        <v>Jacksonville, WA</v>
      </c>
      <c r="K419" t="str">
        <f>VLOOKUP(Call_Center_Data[[#This Row],[Emp ID]], Employee[], 4, FALSE)</f>
        <v>Pierce Rhodes</v>
      </c>
      <c r="L419" t="str">
        <f>VLOOKUP(Call_Center_Data[[#This Row],[Call Type ID]], Call_Type[], 2, FALSE)</f>
        <v>Billing</v>
      </c>
    </row>
    <row r="420" spans="1:12" x14ac:dyDescent="0.3">
      <c r="A420">
        <v>419</v>
      </c>
      <c r="B420">
        <v>1</v>
      </c>
      <c r="C420" s="1">
        <v>45013</v>
      </c>
      <c r="D420" s="2" t="s">
        <v>85</v>
      </c>
      <c r="E420">
        <v>0</v>
      </c>
      <c r="F420">
        <v>33</v>
      </c>
      <c r="G420">
        <v>162</v>
      </c>
      <c r="H420">
        <v>278</v>
      </c>
      <c r="I420" t="str">
        <f>VLOOKUP(Call_Center_Data[[#This Row],[Emp ID]],Employee[],2,FALSE)</f>
        <v>Tina Gilder</v>
      </c>
      <c r="J420" t="str">
        <f>VLOOKUP(Call_Center_Data[[#This Row],[Emp ID]], Employee[], 3, FALSE)</f>
        <v>Spokane, WA</v>
      </c>
      <c r="K420" t="str">
        <f>VLOOKUP(Call_Center_Data[[#This Row],[Emp ID]], Employee[], 4, FALSE)</f>
        <v>Timmy Baas</v>
      </c>
      <c r="L420" t="str">
        <f>VLOOKUP(Call_Center_Data[[#This Row],[Call Type ID]], Call_Type[], 2, FALSE)</f>
        <v>Billing</v>
      </c>
    </row>
    <row r="421" spans="1:12" x14ac:dyDescent="0.3">
      <c r="A421">
        <v>420</v>
      </c>
      <c r="B421">
        <v>3</v>
      </c>
      <c r="C421" s="1">
        <v>45014</v>
      </c>
      <c r="D421" s="2" t="s">
        <v>85</v>
      </c>
      <c r="E421">
        <v>1</v>
      </c>
      <c r="F421">
        <v>32</v>
      </c>
      <c r="G421">
        <v>160</v>
      </c>
      <c r="H421">
        <v>140</v>
      </c>
      <c r="I421" t="str">
        <f>VLOOKUP(Call_Center_Data[[#This Row],[Emp ID]],Employee[],2,FALSE)</f>
        <v>Tina Gilder</v>
      </c>
      <c r="J421" t="str">
        <f>VLOOKUP(Call_Center_Data[[#This Row],[Emp ID]], Employee[], 3, FALSE)</f>
        <v>Spokane, WA</v>
      </c>
      <c r="K421" t="str">
        <f>VLOOKUP(Call_Center_Data[[#This Row],[Emp ID]], Employee[], 4, FALSE)</f>
        <v>Timmy Baas</v>
      </c>
      <c r="L421" t="str">
        <f>VLOOKUP(Call_Center_Data[[#This Row],[Call Type ID]], Call_Type[], 2, FALSE)</f>
        <v>Tech Sup</v>
      </c>
    </row>
    <row r="422" spans="1:12" x14ac:dyDescent="0.3">
      <c r="A422">
        <v>421</v>
      </c>
      <c r="B422">
        <v>1</v>
      </c>
      <c r="C422" s="1">
        <v>45015</v>
      </c>
      <c r="D422" s="2" t="s">
        <v>78</v>
      </c>
      <c r="E422">
        <v>0</v>
      </c>
      <c r="F422">
        <v>27</v>
      </c>
      <c r="G422">
        <v>163</v>
      </c>
      <c r="H422">
        <v>163</v>
      </c>
      <c r="I422" t="str">
        <f>VLOOKUP(Call_Center_Data[[#This Row],[Emp ID]],Employee[],2,FALSE)</f>
        <v>Jill Saab</v>
      </c>
      <c r="J422" t="str">
        <f>VLOOKUP(Call_Center_Data[[#This Row],[Emp ID]], Employee[], 3, FALSE)</f>
        <v>Spokane, WA</v>
      </c>
      <c r="K422" t="str">
        <f>VLOOKUP(Call_Center_Data[[#This Row],[Emp ID]], Employee[], 4, FALSE)</f>
        <v>Timmy Gill</v>
      </c>
      <c r="L422" t="str">
        <f>VLOOKUP(Call_Center_Data[[#This Row],[Call Type ID]], Call_Type[], 2, FALSE)</f>
        <v>Billing</v>
      </c>
    </row>
    <row r="423" spans="1:12" x14ac:dyDescent="0.3">
      <c r="A423">
        <v>422</v>
      </c>
      <c r="B423">
        <v>1</v>
      </c>
      <c r="C423" s="1">
        <v>45016</v>
      </c>
      <c r="D423" s="2" t="s">
        <v>77</v>
      </c>
      <c r="E423">
        <v>1</v>
      </c>
      <c r="F423">
        <v>28</v>
      </c>
      <c r="G423">
        <v>160</v>
      </c>
      <c r="H423">
        <v>111</v>
      </c>
      <c r="I423" t="str">
        <f>VLOOKUP(Call_Center_Data[[#This Row],[Emp ID]],Employee[],2,FALSE)</f>
        <v>Sam Saab</v>
      </c>
      <c r="J423" t="str">
        <f>VLOOKUP(Call_Center_Data[[#This Row],[Emp ID]], Employee[], 3, FALSE)</f>
        <v>Aurora, CO</v>
      </c>
      <c r="K423" t="str">
        <f>VLOOKUP(Call_Center_Data[[#This Row],[Emp ID]], Employee[], 4, FALSE)</f>
        <v>Timmy Mack</v>
      </c>
      <c r="L423" t="str">
        <f>VLOOKUP(Call_Center_Data[[#This Row],[Call Type ID]], Call_Type[], 2, FALSE)</f>
        <v>Billing</v>
      </c>
    </row>
    <row r="424" spans="1:12" x14ac:dyDescent="0.3">
      <c r="A424">
        <v>423</v>
      </c>
      <c r="B424">
        <v>3</v>
      </c>
      <c r="C424" s="1">
        <v>45017</v>
      </c>
      <c r="D424" s="2" t="s">
        <v>83</v>
      </c>
      <c r="E424">
        <v>1</v>
      </c>
      <c r="F424">
        <v>29</v>
      </c>
      <c r="G424">
        <v>154</v>
      </c>
      <c r="H424">
        <v>716</v>
      </c>
      <c r="I424" t="str">
        <f>VLOOKUP(Call_Center_Data[[#This Row],[Emp ID]],Employee[],2,FALSE)</f>
        <v>Ultor Simons</v>
      </c>
      <c r="J424" t="str">
        <f>VLOOKUP(Call_Center_Data[[#This Row],[Emp ID]], Employee[], 3, FALSE)</f>
        <v>Jacksonville, WA</v>
      </c>
      <c r="K424" t="str">
        <f>VLOOKUP(Call_Center_Data[[#This Row],[Emp ID]], Employee[], 4, FALSE)</f>
        <v>Pierce Hall</v>
      </c>
      <c r="L424" t="str">
        <f>VLOOKUP(Call_Center_Data[[#This Row],[Call Type ID]], Call_Type[], 2, FALSE)</f>
        <v>Tech Sup</v>
      </c>
    </row>
    <row r="425" spans="1:12" x14ac:dyDescent="0.3">
      <c r="A425">
        <v>424</v>
      </c>
      <c r="B425">
        <v>1</v>
      </c>
      <c r="C425" s="1">
        <v>45018</v>
      </c>
      <c r="D425" s="2" t="s">
        <v>81</v>
      </c>
      <c r="E425">
        <v>0</v>
      </c>
      <c r="F425">
        <v>35</v>
      </c>
      <c r="G425">
        <v>169</v>
      </c>
      <c r="H425">
        <v>330</v>
      </c>
      <c r="I425" t="str">
        <f>VLOOKUP(Call_Center_Data[[#This Row],[Emp ID]],Employee[],2,FALSE)</f>
        <v>Sam Simons</v>
      </c>
      <c r="J425" t="str">
        <f>VLOOKUP(Call_Center_Data[[#This Row],[Emp ID]], Employee[], 3, FALSE)</f>
        <v>Jacksonville, WA</v>
      </c>
      <c r="K425" t="str">
        <f>VLOOKUP(Call_Center_Data[[#This Row],[Emp ID]], Employee[], 4, FALSE)</f>
        <v>John Baas</v>
      </c>
      <c r="L425" t="str">
        <f>VLOOKUP(Call_Center_Data[[#This Row],[Call Type ID]], Call_Type[], 2, FALSE)</f>
        <v>Billing</v>
      </c>
    </row>
    <row r="426" spans="1:12" x14ac:dyDescent="0.3">
      <c r="A426">
        <v>425</v>
      </c>
      <c r="B426">
        <v>1</v>
      </c>
      <c r="C426" s="1">
        <v>45019</v>
      </c>
      <c r="D426" s="2" t="s">
        <v>68</v>
      </c>
      <c r="E426">
        <v>0</v>
      </c>
      <c r="F426">
        <v>26</v>
      </c>
      <c r="G426">
        <v>191</v>
      </c>
      <c r="H426">
        <v>209</v>
      </c>
      <c r="I426" t="str">
        <f>VLOOKUP(Call_Center_Data[[#This Row],[Emp ID]],Employee[],2,FALSE)</f>
        <v>Tina Saab</v>
      </c>
      <c r="J426" t="str">
        <f>VLOOKUP(Call_Center_Data[[#This Row],[Emp ID]], Employee[], 3, FALSE)</f>
        <v>Spokane, WA</v>
      </c>
      <c r="K426" t="str">
        <f>VLOOKUP(Call_Center_Data[[#This Row],[Emp ID]], Employee[], 4, FALSE)</f>
        <v>Henry Baas</v>
      </c>
      <c r="L426" t="str">
        <f>VLOOKUP(Call_Center_Data[[#This Row],[Call Type ID]], Call_Type[], 2, FALSE)</f>
        <v>Billing</v>
      </c>
    </row>
    <row r="427" spans="1:12" x14ac:dyDescent="0.3">
      <c r="A427">
        <v>426</v>
      </c>
      <c r="B427">
        <v>3</v>
      </c>
      <c r="C427" s="1">
        <v>45020</v>
      </c>
      <c r="D427" s="2" t="s">
        <v>88</v>
      </c>
      <c r="E427">
        <v>1</v>
      </c>
      <c r="F427">
        <v>38</v>
      </c>
      <c r="G427">
        <v>154</v>
      </c>
      <c r="H427">
        <v>275</v>
      </c>
      <c r="I427" t="str">
        <f>VLOOKUP(Call_Center_Data[[#This Row],[Emp ID]],Employee[],2,FALSE)</f>
        <v>Gina Gilder</v>
      </c>
      <c r="J427" t="str">
        <f>VLOOKUP(Call_Center_Data[[#This Row],[Emp ID]], Employee[], 3, FALSE)</f>
        <v>Jacksonville, WA</v>
      </c>
      <c r="K427" t="str">
        <f>VLOOKUP(Call_Center_Data[[#This Row],[Emp ID]], Employee[], 4, FALSE)</f>
        <v>Pierce Rhodes</v>
      </c>
      <c r="L427" t="str">
        <f>VLOOKUP(Call_Center_Data[[#This Row],[Call Type ID]], Call_Type[], 2, FALSE)</f>
        <v>Tech Sup</v>
      </c>
    </row>
    <row r="428" spans="1:12" x14ac:dyDescent="0.3">
      <c r="A428">
        <v>427</v>
      </c>
      <c r="B428">
        <v>3</v>
      </c>
      <c r="C428" s="1">
        <v>45021</v>
      </c>
      <c r="D428" s="2" t="s">
        <v>77</v>
      </c>
      <c r="E428">
        <v>0</v>
      </c>
      <c r="F428">
        <v>30</v>
      </c>
      <c r="G428">
        <v>173</v>
      </c>
      <c r="H428">
        <v>268</v>
      </c>
      <c r="I428" t="str">
        <f>VLOOKUP(Call_Center_Data[[#This Row],[Emp ID]],Employee[],2,FALSE)</f>
        <v>Sam Saab</v>
      </c>
      <c r="J428" t="str">
        <f>VLOOKUP(Call_Center_Data[[#This Row],[Emp ID]], Employee[], 3, FALSE)</f>
        <v>Aurora, CO</v>
      </c>
      <c r="K428" t="str">
        <f>VLOOKUP(Call_Center_Data[[#This Row],[Emp ID]], Employee[], 4, FALSE)</f>
        <v>Timmy Mack</v>
      </c>
      <c r="L428" t="str">
        <f>VLOOKUP(Call_Center_Data[[#This Row],[Call Type ID]], Call_Type[], 2, FALSE)</f>
        <v>Tech Sup</v>
      </c>
    </row>
    <row r="429" spans="1:12" x14ac:dyDescent="0.3">
      <c r="A429">
        <v>428</v>
      </c>
      <c r="B429">
        <v>3</v>
      </c>
      <c r="C429" s="1">
        <v>45022</v>
      </c>
      <c r="D429" s="2" t="s">
        <v>84</v>
      </c>
      <c r="E429">
        <v>0</v>
      </c>
      <c r="F429">
        <v>33</v>
      </c>
      <c r="G429">
        <v>160</v>
      </c>
      <c r="H429">
        <v>272</v>
      </c>
      <c r="I429" t="str">
        <f>VLOOKUP(Call_Center_Data[[#This Row],[Emp ID]],Employee[],2,FALSE)</f>
        <v>Sam John</v>
      </c>
      <c r="J429" t="str">
        <f>VLOOKUP(Call_Center_Data[[#This Row],[Emp ID]], Employee[], 3, FALSE)</f>
        <v>Aurora, CO</v>
      </c>
      <c r="K429" t="str">
        <f>VLOOKUP(Call_Center_Data[[#This Row],[Emp ID]], Employee[], 4, FALSE)</f>
        <v>Jenny Mack</v>
      </c>
      <c r="L429" t="str">
        <f>VLOOKUP(Call_Center_Data[[#This Row],[Call Type ID]], Call_Type[], 2, FALSE)</f>
        <v>Tech Sup</v>
      </c>
    </row>
    <row r="430" spans="1:12" x14ac:dyDescent="0.3">
      <c r="A430">
        <v>429</v>
      </c>
      <c r="B430">
        <v>3</v>
      </c>
      <c r="C430" s="1">
        <v>45023</v>
      </c>
      <c r="D430" s="2" t="s">
        <v>74</v>
      </c>
      <c r="E430">
        <v>0</v>
      </c>
      <c r="F430">
        <v>36</v>
      </c>
      <c r="G430">
        <v>152</v>
      </c>
      <c r="H430">
        <v>281</v>
      </c>
      <c r="I430" t="str">
        <f>VLOOKUP(Call_Center_Data[[#This Row],[Emp ID]],Employee[],2,FALSE)</f>
        <v>Gina John</v>
      </c>
      <c r="J430" t="str">
        <f>VLOOKUP(Call_Center_Data[[#This Row],[Emp ID]], Employee[], 3, FALSE)</f>
        <v>Jacksonville, WA</v>
      </c>
      <c r="K430" t="str">
        <f>VLOOKUP(Call_Center_Data[[#This Row],[Emp ID]], Employee[], 4, FALSE)</f>
        <v>Henry Gill</v>
      </c>
      <c r="L430" t="str">
        <f>VLOOKUP(Call_Center_Data[[#This Row],[Call Type ID]], Call_Type[], 2, FALSE)</f>
        <v>Tech Sup</v>
      </c>
    </row>
    <row r="431" spans="1:12" x14ac:dyDescent="0.3">
      <c r="A431">
        <v>430</v>
      </c>
      <c r="B431">
        <v>3</v>
      </c>
      <c r="C431" s="1">
        <v>45024</v>
      </c>
      <c r="D431" s="2" t="s">
        <v>66</v>
      </c>
      <c r="E431">
        <v>0</v>
      </c>
      <c r="F431">
        <v>34</v>
      </c>
      <c r="G431">
        <v>137</v>
      </c>
      <c r="H431">
        <v>250</v>
      </c>
      <c r="I431" t="str">
        <f>VLOOKUP(Call_Center_Data[[#This Row],[Emp ID]],Employee[],2,FALSE)</f>
        <v>Tina John</v>
      </c>
      <c r="J431" t="str">
        <f>VLOOKUP(Call_Center_Data[[#This Row],[Emp ID]], Employee[], 3, FALSE)</f>
        <v>Aurora, CO</v>
      </c>
      <c r="K431" t="str">
        <f>VLOOKUP(Call_Center_Data[[#This Row],[Emp ID]], Employee[], 4, FALSE)</f>
        <v>Timmy Rhodes</v>
      </c>
      <c r="L431" t="str">
        <f>VLOOKUP(Call_Center_Data[[#This Row],[Call Type ID]], Call_Type[], 2, FALSE)</f>
        <v>Tech Sup</v>
      </c>
    </row>
    <row r="432" spans="1:12" x14ac:dyDescent="0.3">
      <c r="A432">
        <v>431</v>
      </c>
      <c r="B432">
        <v>3</v>
      </c>
      <c r="C432" s="1">
        <v>45025</v>
      </c>
      <c r="D432" s="2" t="s">
        <v>68</v>
      </c>
      <c r="E432">
        <v>1</v>
      </c>
      <c r="F432">
        <v>26</v>
      </c>
      <c r="G432">
        <v>153</v>
      </c>
      <c r="H432">
        <v>98</v>
      </c>
      <c r="I432" t="str">
        <f>VLOOKUP(Call_Center_Data[[#This Row],[Emp ID]],Employee[],2,FALSE)</f>
        <v>Tina Saab</v>
      </c>
      <c r="J432" t="str">
        <f>VLOOKUP(Call_Center_Data[[#This Row],[Emp ID]], Employee[], 3, FALSE)</f>
        <v>Spokane, WA</v>
      </c>
      <c r="K432" t="str">
        <f>VLOOKUP(Call_Center_Data[[#This Row],[Emp ID]], Employee[], 4, FALSE)</f>
        <v>Henry Baas</v>
      </c>
      <c r="L432" t="str">
        <f>VLOOKUP(Call_Center_Data[[#This Row],[Call Type ID]], Call_Type[], 2, FALSE)</f>
        <v>Tech Sup</v>
      </c>
    </row>
    <row r="433" spans="1:12" x14ac:dyDescent="0.3">
      <c r="A433">
        <v>432</v>
      </c>
      <c r="B433">
        <v>1</v>
      </c>
      <c r="C433" s="1">
        <v>45026</v>
      </c>
      <c r="D433" s="2" t="s">
        <v>74</v>
      </c>
      <c r="E433">
        <v>0</v>
      </c>
      <c r="F433">
        <v>42</v>
      </c>
      <c r="G433">
        <v>144</v>
      </c>
      <c r="H433">
        <v>176</v>
      </c>
      <c r="I433" t="str">
        <f>VLOOKUP(Call_Center_Data[[#This Row],[Emp ID]],Employee[],2,FALSE)</f>
        <v>Gina John</v>
      </c>
      <c r="J433" t="str">
        <f>VLOOKUP(Call_Center_Data[[#This Row],[Emp ID]], Employee[], 3, FALSE)</f>
        <v>Jacksonville, WA</v>
      </c>
      <c r="K433" t="str">
        <f>VLOOKUP(Call_Center_Data[[#This Row],[Emp ID]], Employee[], 4, FALSE)</f>
        <v>Henry Gill</v>
      </c>
      <c r="L433" t="str">
        <f>VLOOKUP(Call_Center_Data[[#This Row],[Call Type ID]], Call_Type[], 2, FALSE)</f>
        <v>Billing</v>
      </c>
    </row>
    <row r="434" spans="1:12" x14ac:dyDescent="0.3">
      <c r="A434">
        <v>433</v>
      </c>
      <c r="B434">
        <v>2</v>
      </c>
      <c r="C434" s="1">
        <v>45027</v>
      </c>
      <c r="D434" s="2" t="s">
        <v>83</v>
      </c>
      <c r="E434">
        <v>0</v>
      </c>
      <c r="F434">
        <v>42</v>
      </c>
      <c r="G434">
        <v>159</v>
      </c>
      <c r="H434">
        <v>196</v>
      </c>
      <c r="I434" t="str">
        <f>VLOOKUP(Call_Center_Data[[#This Row],[Emp ID]],Employee[],2,FALSE)</f>
        <v>Ultor Simons</v>
      </c>
      <c r="J434" t="str">
        <f>VLOOKUP(Call_Center_Data[[#This Row],[Emp ID]], Employee[], 3, FALSE)</f>
        <v>Jacksonville, WA</v>
      </c>
      <c r="K434" t="str">
        <f>VLOOKUP(Call_Center_Data[[#This Row],[Emp ID]], Employee[], 4, FALSE)</f>
        <v>Pierce Hall</v>
      </c>
      <c r="L434" t="str">
        <f>VLOOKUP(Call_Center_Data[[#This Row],[Call Type ID]], Call_Type[], 2, FALSE)</f>
        <v>Sales</v>
      </c>
    </row>
    <row r="435" spans="1:12" x14ac:dyDescent="0.3">
      <c r="A435">
        <v>434</v>
      </c>
      <c r="B435">
        <v>2</v>
      </c>
      <c r="C435" s="1">
        <v>45028</v>
      </c>
      <c r="D435" s="2" t="s">
        <v>87</v>
      </c>
      <c r="E435">
        <v>1</v>
      </c>
      <c r="F435">
        <v>29</v>
      </c>
      <c r="G435">
        <v>151</v>
      </c>
      <c r="H435">
        <v>221</v>
      </c>
      <c r="I435" t="str">
        <f>VLOOKUP(Call_Center_Data[[#This Row],[Emp ID]],Employee[],2,FALSE)</f>
        <v>Gina Saab</v>
      </c>
      <c r="J435" t="str">
        <f>VLOOKUP(Call_Center_Data[[#This Row],[Emp ID]], Employee[], 3, FALSE)</f>
        <v>Jacksonville, WA</v>
      </c>
      <c r="K435" t="str">
        <f>VLOOKUP(Call_Center_Data[[#This Row],[Emp ID]], Employee[], 4, FALSE)</f>
        <v>Jenny Gill</v>
      </c>
      <c r="L435" t="str">
        <f>VLOOKUP(Call_Center_Data[[#This Row],[Call Type ID]], Call_Type[], 2, FALSE)</f>
        <v>Sales</v>
      </c>
    </row>
    <row r="436" spans="1:12" x14ac:dyDescent="0.3">
      <c r="A436">
        <v>435</v>
      </c>
      <c r="B436">
        <v>2</v>
      </c>
      <c r="C436" s="1">
        <v>45029</v>
      </c>
      <c r="D436" s="2" t="s">
        <v>84</v>
      </c>
      <c r="E436">
        <v>0</v>
      </c>
      <c r="F436">
        <v>26</v>
      </c>
      <c r="G436">
        <v>148</v>
      </c>
      <c r="H436">
        <v>209</v>
      </c>
      <c r="I436" t="str">
        <f>VLOOKUP(Call_Center_Data[[#This Row],[Emp ID]],Employee[],2,FALSE)</f>
        <v>Sam John</v>
      </c>
      <c r="J436" t="str">
        <f>VLOOKUP(Call_Center_Data[[#This Row],[Emp ID]], Employee[], 3, FALSE)</f>
        <v>Aurora, CO</v>
      </c>
      <c r="K436" t="str">
        <f>VLOOKUP(Call_Center_Data[[#This Row],[Emp ID]], Employee[], 4, FALSE)</f>
        <v>Jenny Mack</v>
      </c>
      <c r="L436" t="str">
        <f>VLOOKUP(Call_Center_Data[[#This Row],[Call Type ID]], Call_Type[], 2, FALSE)</f>
        <v>Sales</v>
      </c>
    </row>
    <row r="437" spans="1:12" x14ac:dyDescent="0.3">
      <c r="A437">
        <v>436</v>
      </c>
      <c r="B437">
        <v>2</v>
      </c>
      <c r="C437" s="1">
        <v>45030</v>
      </c>
      <c r="D437" s="2" t="s">
        <v>74</v>
      </c>
      <c r="E437">
        <v>0</v>
      </c>
      <c r="F437">
        <v>26</v>
      </c>
      <c r="G437">
        <v>149</v>
      </c>
      <c r="H437">
        <v>208</v>
      </c>
      <c r="I437" t="str">
        <f>VLOOKUP(Call_Center_Data[[#This Row],[Emp ID]],Employee[],2,FALSE)</f>
        <v>Gina John</v>
      </c>
      <c r="J437" t="str">
        <f>VLOOKUP(Call_Center_Data[[#This Row],[Emp ID]], Employee[], 3, FALSE)</f>
        <v>Jacksonville, WA</v>
      </c>
      <c r="K437" t="str">
        <f>VLOOKUP(Call_Center_Data[[#This Row],[Emp ID]], Employee[], 4, FALSE)</f>
        <v>Henry Gill</v>
      </c>
      <c r="L437" t="str">
        <f>VLOOKUP(Call_Center_Data[[#This Row],[Call Type ID]], Call_Type[], 2, FALSE)</f>
        <v>Sales</v>
      </c>
    </row>
    <row r="438" spans="1:12" x14ac:dyDescent="0.3">
      <c r="A438">
        <v>437</v>
      </c>
      <c r="B438">
        <v>1</v>
      </c>
      <c r="C438" s="1">
        <v>45031</v>
      </c>
      <c r="D438" s="2" t="s">
        <v>71</v>
      </c>
      <c r="E438">
        <v>1</v>
      </c>
      <c r="F438">
        <v>39</v>
      </c>
      <c r="G438">
        <v>153</v>
      </c>
      <c r="H438">
        <v>188</v>
      </c>
      <c r="I438" t="str">
        <f>VLOOKUP(Call_Center_Data[[#This Row],[Emp ID]],Employee[],2,FALSE)</f>
        <v>Sam Pat</v>
      </c>
      <c r="J438" t="str">
        <f>VLOOKUP(Call_Center_Data[[#This Row],[Emp ID]], Employee[], 3, FALSE)</f>
        <v>Aurora, CO</v>
      </c>
      <c r="K438" t="str">
        <f>VLOOKUP(Call_Center_Data[[#This Row],[Emp ID]], Employee[], 4, FALSE)</f>
        <v>Henry Mack</v>
      </c>
      <c r="L438" t="str">
        <f>VLOOKUP(Call_Center_Data[[#This Row],[Call Type ID]], Call_Type[], 2, FALSE)</f>
        <v>Billing</v>
      </c>
    </row>
    <row r="439" spans="1:12" x14ac:dyDescent="0.3">
      <c r="A439">
        <v>438</v>
      </c>
      <c r="B439">
        <v>3</v>
      </c>
      <c r="C439" s="1">
        <v>45032</v>
      </c>
      <c r="D439" s="2" t="s">
        <v>76</v>
      </c>
      <c r="E439">
        <v>1</v>
      </c>
      <c r="F439">
        <v>38</v>
      </c>
      <c r="G439">
        <v>158</v>
      </c>
      <c r="H439">
        <v>258</v>
      </c>
      <c r="I439" t="str">
        <f>VLOOKUP(Call_Center_Data[[#This Row],[Emp ID]],Employee[],2,FALSE)</f>
        <v>Ultor Saab</v>
      </c>
      <c r="J439" t="str">
        <f>VLOOKUP(Call_Center_Data[[#This Row],[Emp ID]], Employee[], 3, FALSE)</f>
        <v>Aurora, CO</v>
      </c>
      <c r="K439" t="str">
        <f>VLOOKUP(Call_Center_Data[[#This Row],[Emp ID]], Employee[], 4, FALSE)</f>
        <v>Pierce Baas</v>
      </c>
      <c r="L439" t="str">
        <f>VLOOKUP(Call_Center_Data[[#This Row],[Call Type ID]], Call_Type[], 2, FALSE)</f>
        <v>Tech Sup</v>
      </c>
    </row>
    <row r="440" spans="1:12" x14ac:dyDescent="0.3">
      <c r="A440">
        <v>439</v>
      </c>
      <c r="B440">
        <v>1</v>
      </c>
      <c r="C440" s="1">
        <v>45033</v>
      </c>
      <c r="D440" s="2" t="s">
        <v>70</v>
      </c>
      <c r="E440">
        <v>1</v>
      </c>
      <c r="F440">
        <v>34</v>
      </c>
      <c r="G440">
        <v>125</v>
      </c>
      <c r="H440">
        <v>269</v>
      </c>
      <c r="I440" t="str">
        <f>VLOOKUP(Call_Center_Data[[#This Row],[Emp ID]],Employee[],2,FALSE)</f>
        <v>Jill Pat</v>
      </c>
      <c r="J440" t="str">
        <f>VLOOKUP(Call_Center_Data[[#This Row],[Emp ID]], Employee[], 3, FALSE)</f>
        <v>Aurora, CO</v>
      </c>
      <c r="K440" t="str">
        <f>VLOOKUP(Call_Center_Data[[#This Row],[Emp ID]], Employee[], 4, FALSE)</f>
        <v>Henry Rhodes</v>
      </c>
      <c r="L440" t="str">
        <f>VLOOKUP(Call_Center_Data[[#This Row],[Call Type ID]], Call_Type[], 2, FALSE)</f>
        <v>Billing</v>
      </c>
    </row>
    <row r="441" spans="1:12" x14ac:dyDescent="0.3">
      <c r="A441">
        <v>440</v>
      </c>
      <c r="B441">
        <v>1</v>
      </c>
      <c r="C441" s="1">
        <v>45034</v>
      </c>
      <c r="D441" s="2" t="s">
        <v>76</v>
      </c>
      <c r="E441">
        <v>0</v>
      </c>
      <c r="F441">
        <v>36</v>
      </c>
      <c r="G441">
        <v>135</v>
      </c>
      <c r="H441">
        <v>246</v>
      </c>
      <c r="I441" t="str">
        <f>VLOOKUP(Call_Center_Data[[#This Row],[Emp ID]],Employee[],2,FALSE)</f>
        <v>Ultor Saab</v>
      </c>
      <c r="J441" t="str">
        <f>VLOOKUP(Call_Center_Data[[#This Row],[Emp ID]], Employee[], 3, FALSE)</f>
        <v>Aurora, CO</v>
      </c>
      <c r="K441" t="str">
        <f>VLOOKUP(Call_Center_Data[[#This Row],[Emp ID]], Employee[], 4, FALSE)</f>
        <v>Pierce Baas</v>
      </c>
      <c r="L441" t="str">
        <f>VLOOKUP(Call_Center_Data[[#This Row],[Call Type ID]], Call_Type[], 2, FALSE)</f>
        <v>Billing</v>
      </c>
    </row>
    <row r="442" spans="1:12" x14ac:dyDescent="0.3">
      <c r="A442">
        <v>441</v>
      </c>
      <c r="B442">
        <v>2</v>
      </c>
      <c r="C442" s="1">
        <v>45035</v>
      </c>
      <c r="D442" s="2" t="s">
        <v>86</v>
      </c>
      <c r="E442">
        <v>0</v>
      </c>
      <c r="F442">
        <v>32</v>
      </c>
      <c r="G442">
        <v>143</v>
      </c>
      <c r="H442">
        <v>220</v>
      </c>
      <c r="I442" t="str">
        <f>VLOOKUP(Call_Center_Data[[#This Row],[Emp ID]],Employee[],2,FALSE)</f>
        <v>Jill Gilder</v>
      </c>
      <c r="J442" t="str">
        <f>VLOOKUP(Call_Center_Data[[#This Row],[Emp ID]], Employee[], 3, FALSE)</f>
        <v>Aurora, CO</v>
      </c>
      <c r="K442" t="str">
        <f>VLOOKUP(Call_Center_Data[[#This Row],[Emp ID]], Employee[], 4, FALSE)</f>
        <v>Jenny Baas</v>
      </c>
      <c r="L442" t="str">
        <f>VLOOKUP(Call_Center_Data[[#This Row],[Call Type ID]], Call_Type[], 2, FALSE)</f>
        <v>Sales</v>
      </c>
    </row>
    <row r="443" spans="1:12" x14ac:dyDescent="0.3">
      <c r="A443">
        <v>442</v>
      </c>
      <c r="B443">
        <v>1</v>
      </c>
      <c r="C443" s="1">
        <v>45036</v>
      </c>
      <c r="D443" s="2" t="s">
        <v>65</v>
      </c>
      <c r="E443">
        <v>1</v>
      </c>
      <c r="F443">
        <v>29</v>
      </c>
      <c r="G443">
        <v>151</v>
      </c>
      <c r="H443">
        <v>455</v>
      </c>
      <c r="I443" t="str">
        <f>VLOOKUP(Call_Center_Data[[#This Row],[Emp ID]],Employee[],2,FALSE)</f>
        <v>Ultor John</v>
      </c>
      <c r="J443" t="str">
        <f>VLOOKUP(Call_Center_Data[[#This Row],[Emp ID]], Employee[], 3, FALSE)</f>
        <v>Spokane, WA</v>
      </c>
      <c r="K443" t="str">
        <f>VLOOKUP(Call_Center_Data[[#This Row],[Emp ID]], Employee[], 4, FALSE)</f>
        <v>John Mack</v>
      </c>
      <c r="L443" t="str">
        <f>VLOOKUP(Call_Center_Data[[#This Row],[Call Type ID]], Call_Type[], 2, FALSE)</f>
        <v>Billing</v>
      </c>
    </row>
    <row r="444" spans="1:12" x14ac:dyDescent="0.3">
      <c r="A444">
        <v>443</v>
      </c>
      <c r="B444">
        <v>3</v>
      </c>
      <c r="C444" s="1">
        <v>45037</v>
      </c>
      <c r="D444" s="2" t="s">
        <v>82</v>
      </c>
      <c r="E444">
        <v>0</v>
      </c>
      <c r="F444">
        <v>38</v>
      </c>
      <c r="G444">
        <v>196</v>
      </c>
      <c r="H444">
        <v>599</v>
      </c>
      <c r="I444" t="str">
        <f>VLOOKUP(Call_Center_Data[[#This Row],[Emp ID]],Employee[],2,FALSE)</f>
        <v>Ultor Gilder</v>
      </c>
      <c r="J444" t="str">
        <f>VLOOKUP(Call_Center_Data[[#This Row],[Emp ID]], Employee[], 3, FALSE)</f>
        <v>Aurora, CO</v>
      </c>
      <c r="K444" t="str">
        <f>VLOOKUP(Call_Center_Data[[#This Row],[Emp ID]], Employee[], 4, FALSE)</f>
        <v>Pierce Mack</v>
      </c>
      <c r="L444" t="str">
        <f>VLOOKUP(Call_Center_Data[[#This Row],[Call Type ID]], Call_Type[], 2, FALSE)</f>
        <v>Tech Sup</v>
      </c>
    </row>
    <row r="445" spans="1:12" x14ac:dyDescent="0.3">
      <c r="A445">
        <v>444</v>
      </c>
      <c r="B445">
        <v>2</v>
      </c>
      <c r="C445" s="1">
        <v>45038</v>
      </c>
      <c r="D445" s="2" t="s">
        <v>84</v>
      </c>
      <c r="E445">
        <v>0</v>
      </c>
      <c r="F445">
        <v>13</v>
      </c>
      <c r="G445">
        <v>175</v>
      </c>
      <c r="H445">
        <v>113</v>
      </c>
      <c r="I445" t="str">
        <f>VLOOKUP(Call_Center_Data[[#This Row],[Emp ID]],Employee[],2,FALSE)</f>
        <v>Sam John</v>
      </c>
      <c r="J445" t="str">
        <f>VLOOKUP(Call_Center_Data[[#This Row],[Emp ID]], Employee[], 3, FALSE)</f>
        <v>Aurora, CO</v>
      </c>
      <c r="K445" t="str">
        <f>VLOOKUP(Call_Center_Data[[#This Row],[Emp ID]], Employee[], 4, FALSE)</f>
        <v>Jenny Mack</v>
      </c>
      <c r="L445" t="str">
        <f>VLOOKUP(Call_Center_Data[[#This Row],[Call Type ID]], Call_Type[], 2, FALSE)</f>
        <v>Sales</v>
      </c>
    </row>
    <row r="446" spans="1:12" x14ac:dyDescent="0.3">
      <c r="A446">
        <v>445</v>
      </c>
      <c r="B446">
        <v>1</v>
      </c>
      <c r="C446" s="1">
        <v>45039</v>
      </c>
      <c r="D446" s="2" t="s">
        <v>85</v>
      </c>
      <c r="E446">
        <v>1</v>
      </c>
      <c r="F446">
        <v>12</v>
      </c>
      <c r="G446">
        <v>167</v>
      </c>
      <c r="H446">
        <v>57</v>
      </c>
      <c r="I446" t="str">
        <f>VLOOKUP(Call_Center_Data[[#This Row],[Emp ID]],Employee[],2,FALSE)</f>
        <v>Tina Gilder</v>
      </c>
      <c r="J446" t="str">
        <f>VLOOKUP(Call_Center_Data[[#This Row],[Emp ID]], Employee[], 3, FALSE)</f>
        <v>Spokane, WA</v>
      </c>
      <c r="K446" t="str">
        <f>VLOOKUP(Call_Center_Data[[#This Row],[Emp ID]], Employee[], 4, FALSE)</f>
        <v>Timmy Baas</v>
      </c>
      <c r="L446" t="str">
        <f>VLOOKUP(Call_Center_Data[[#This Row],[Call Type ID]], Call_Type[], 2, FALSE)</f>
        <v>Billing</v>
      </c>
    </row>
    <row r="447" spans="1:12" x14ac:dyDescent="0.3">
      <c r="A447">
        <v>446</v>
      </c>
      <c r="B447">
        <v>2</v>
      </c>
      <c r="C447" s="1">
        <v>45040</v>
      </c>
      <c r="D447" s="2" t="s">
        <v>77</v>
      </c>
      <c r="E447">
        <v>1</v>
      </c>
      <c r="F447">
        <v>13</v>
      </c>
      <c r="G447">
        <v>144</v>
      </c>
      <c r="H447">
        <v>55</v>
      </c>
      <c r="I447" t="str">
        <f>VLOOKUP(Call_Center_Data[[#This Row],[Emp ID]],Employee[],2,FALSE)</f>
        <v>Sam Saab</v>
      </c>
      <c r="J447" t="str">
        <f>VLOOKUP(Call_Center_Data[[#This Row],[Emp ID]], Employee[], 3, FALSE)</f>
        <v>Aurora, CO</v>
      </c>
      <c r="K447" t="str">
        <f>VLOOKUP(Call_Center_Data[[#This Row],[Emp ID]], Employee[], 4, FALSE)</f>
        <v>Timmy Mack</v>
      </c>
      <c r="L447" t="str">
        <f>VLOOKUP(Call_Center_Data[[#This Row],[Call Type ID]], Call_Type[], 2, FALSE)</f>
        <v>Sales</v>
      </c>
    </row>
    <row r="448" spans="1:12" x14ac:dyDescent="0.3">
      <c r="A448">
        <v>447</v>
      </c>
      <c r="B448">
        <v>3</v>
      </c>
      <c r="C448" s="1">
        <v>45041</v>
      </c>
      <c r="D448" s="2" t="s">
        <v>67</v>
      </c>
      <c r="E448">
        <v>0</v>
      </c>
      <c r="F448">
        <v>10</v>
      </c>
      <c r="G448">
        <v>150</v>
      </c>
      <c r="H448">
        <v>86</v>
      </c>
      <c r="I448" t="str">
        <f>VLOOKUP(Call_Center_Data[[#This Row],[Emp ID]],Employee[],2,FALSE)</f>
        <v>Tina Pat</v>
      </c>
      <c r="J448" t="str">
        <f>VLOOKUP(Call_Center_Data[[#This Row],[Emp ID]], Employee[], 3, FALSE)</f>
        <v>Jacksonville, WA</v>
      </c>
      <c r="K448" t="str">
        <f>VLOOKUP(Call_Center_Data[[#This Row],[Emp ID]], Employee[], 4, FALSE)</f>
        <v>John Hall</v>
      </c>
      <c r="L448" t="str">
        <f>VLOOKUP(Call_Center_Data[[#This Row],[Call Type ID]], Call_Type[], 2, FALSE)</f>
        <v>Tech Sup</v>
      </c>
    </row>
    <row r="449" spans="1:12" x14ac:dyDescent="0.3">
      <c r="A449">
        <v>448</v>
      </c>
      <c r="B449">
        <v>2</v>
      </c>
      <c r="C449" s="1">
        <v>45042</v>
      </c>
      <c r="D449" s="2" t="s">
        <v>86</v>
      </c>
      <c r="E449">
        <v>1</v>
      </c>
      <c r="F449">
        <v>8</v>
      </c>
      <c r="G449">
        <v>143</v>
      </c>
      <c r="H449">
        <v>52</v>
      </c>
      <c r="I449" t="str">
        <f>VLOOKUP(Call_Center_Data[[#This Row],[Emp ID]],Employee[],2,FALSE)</f>
        <v>Jill Gilder</v>
      </c>
      <c r="J449" t="str">
        <f>VLOOKUP(Call_Center_Data[[#This Row],[Emp ID]], Employee[], 3, FALSE)</f>
        <v>Aurora, CO</v>
      </c>
      <c r="K449" t="str">
        <f>VLOOKUP(Call_Center_Data[[#This Row],[Emp ID]], Employee[], 4, FALSE)</f>
        <v>Jenny Baas</v>
      </c>
      <c r="L449" t="str">
        <f>VLOOKUP(Call_Center_Data[[#This Row],[Call Type ID]], Call_Type[], 2, FALSE)</f>
        <v>Sales</v>
      </c>
    </row>
    <row r="450" spans="1:12" x14ac:dyDescent="0.3">
      <c r="A450">
        <v>449</v>
      </c>
      <c r="B450">
        <v>1</v>
      </c>
      <c r="C450" s="1">
        <v>45043</v>
      </c>
      <c r="D450" s="2" t="s">
        <v>84</v>
      </c>
      <c r="E450">
        <v>1</v>
      </c>
      <c r="F450">
        <v>17</v>
      </c>
      <c r="G450">
        <v>132</v>
      </c>
      <c r="H450">
        <v>86</v>
      </c>
      <c r="I450" t="str">
        <f>VLOOKUP(Call_Center_Data[[#This Row],[Emp ID]],Employee[],2,FALSE)</f>
        <v>Sam John</v>
      </c>
      <c r="J450" t="str">
        <f>VLOOKUP(Call_Center_Data[[#This Row],[Emp ID]], Employee[], 3, FALSE)</f>
        <v>Aurora, CO</v>
      </c>
      <c r="K450" t="str">
        <f>VLOOKUP(Call_Center_Data[[#This Row],[Emp ID]], Employee[], 4, FALSE)</f>
        <v>Jenny Mack</v>
      </c>
      <c r="L450" t="str">
        <f>VLOOKUP(Call_Center_Data[[#This Row],[Call Type ID]], Call_Type[], 2, FALSE)</f>
        <v>Billing</v>
      </c>
    </row>
    <row r="451" spans="1:12" x14ac:dyDescent="0.3">
      <c r="A451">
        <v>450</v>
      </c>
      <c r="B451">
        <v>2</v>
      </c>
      <c r="C451" s="1">
        <v>45044</v>
      </c>
      <c r="D451" s="2" t="s">
        <v>87</v>
      </c>
      <c r="E451">
        <v>0</v>
      </c>
      <c r="F451">
        <v>22</v>
      </c>
      <c r="G451">
        <v>126</v>
      </c>
      <c r="H451">
        <v>520</v>
      </c>
      <c r="I451" t="str">
        <f>VLOOKUP(Call_Center_Data[[#This Row],[Emp ID]],Employee[],2,FALSE)</f>
        <v>Gina Saab</v>
      </c>
      <c r="J451" t="str">
        <f>VLOOKUP(Call_Center_Data[[#This Row],[Emp ID]], Employee[], 3, FALSE)</f>
        <v>Jacksonville, WA</v>
      </c>
      <c r="K451" t="str">
        <f>VLOOKUP(Call_Center_Data[[#This Row],[Emp ID]], Employee[], 4, FALSE)</f>
        <v>Jenny Gill</v>
      </c>
      <c r="L451" t="str">
        <f>VLOOKUP(Call_Center_Data[[#This Row],[Call Type ID]], Call_Type[], 2, FALSE)</f>
        <v>Sales</v>
      </c>
    </row>
    <row r="452" spans="1:12" x14ac:dyDescent="0.3">
      <c r="A452">
        <v>451</v>
      </c>
      <c r="B452">
        <v>2</v>
      </c>
      <c r="C452" s="1">
        <v>45045</v>
      </c>
      <c r="D452" s="2" t="s">
        <v>87</v>
      </c>
      <c r="E452">
        <v>0</v>
      </c>
      <c r="F452">
        <v>21</v>
      </c>
      <c r="G452">
        <v>146</v>
      </c>
      <c r="H452">
        <v>160</v>
      </c>
      <c r="I452" t="str">
        <f>VLOOKUP(Call_Center_Data[[#This Row],[Emp ID]],Employee[],2,FALSE)</f>
        <v>Gina Saab</v>
      </c>
      <c r="J452" t="str">
        <f>VLOOKUP(Call_Center_Data[[#This Row],[Emp ID]], Employee[], 3, FALSE)</f>
        <v>Jacksonville, WA</v>
      </c>
      <c r="K452" t="str">
        <f>VLOOKUP(Call_Center_Data[[#This Row],[Emp ID]], Employee[], 4, FALSE)</f>
        <v>Jenny Gill</v>
      </c>
      <c r="L452" t="str">
        <f>VLOOKUP(Call_Center_Data[[#This Row],[Call Type ID]], Call_Type[], 2, FALSE)</f>
        <v>Sales</v>
      </c>
    </row>
    <row r="453" spans="1:12" x14ac:dyDescent="0.3">
      <c r="A453">
        <v>452</v>
      </c>
      <c r="B453">
        <v>1</v>
      </c>
      <c r="C453" s="1">
        <v>45046</v>
      </c>
      <c r="D453" s="2" t="s">
        <v>73</v>
      </c>
      <c r="E453">
        <v>1</v>
      </c>
      <c r="F453">
        <v>30</v>
      </c>
      <c r="G453">
        <v>147</v>
      </c>
      <c r="H453">
        <v>349</v>
      </c>
      <c r="I453" t="str">
        <f>VLOOKUP(Call_Center_Data[[#This Row],[Emp ID]],Employee[],2,FALSE)</f>
        <v>Jill John</v>
      </c>
      <c r="J453" t="str">
        <f>VLOOKUP(Call_Center_Data[[#This Row],[Emp ID]], Employee[], 3, FALSE)</f>
        <v>Spokane, WA</v>
      </c>
      <c r="K453" t="str">
        <f>VLOOKUP(Call_Center_Data[[#This Row],[Emp ID]], Employee[], 4, FALSE)</f>
        <v>John Gill</v>
      </c>
      <c r="L453" t="str">
        <f>VLOOKUP(Call_Center_Data[[#This Row],[Call Type ID]], Call_Type[], 2, FALSE)</f>
        <v>Billing</v>
      </c>
    </row>
    <row r="454" spans="1:12" x14ac:dyDescent="0.3">
      <c r="A454">
        <v>453</v>
      </c>
      <c r="B454">
        <v>3</v>
      </c>
      <c r="C454" s="1">
        <v>45047</v>
      </c>
      <c r="D454" s="2" t="s">
        <v>66</v>
      </c>
      <c r="E454">
        <v>1</v>
      </c>
      <c r="F454">
        <v>11</v>
      </c>
      <c r="G454">
        <v>160</v>
      </c>
      <c r="H454">
        <v>55</v>
      </c>
      <c r="I454" t="str">
        <f>VLOOKUP(Call_Center_Data[[#This Row],[Emp ID]],Employee[],2,FALSE)</f>
        <v>Tina John</v>
      </c>
      <c r="J454" t="str">
        <f>VLOOKUP(Call_Center_Data[[#This Row],[Emp ID]], Employee[], 3, FALSE)</f>
        <v>Aurora, CO</v>
      </c>
      <c r="K454" t="str">
        <f>VLOOKUP(Call_Center_Data[[#This Row],[Emp ID]], Employee[], 4, FALSE)</f>
        <v>Timmy Rhodes</v>
      </c>
      <c r="L454" t="str">
        <f>VLOOKUP(Call_Center_Data[[#This Row],[Call Type ID]], Call_Type[], 2, FALSE)</f>
        <v>Tech Sup</v>
      </c>
    </row>
    <row r="455" spans="1:12" x14ac:dyDescent="0.3">
      <c r="A455">
        <v>454</v>
      </c>
      <c r="B455">
        <v>1</v>
      </c>
      <c r="C455" s="1">
        <v>45048</v>
      </c>
      <c r="D455" s="2" t="s">
        <v>83</v>
      </c>
      <c r="E455">
        <v>0</v>
      </c>
      <c r="F455">
        <v>24</v>
      </c>
      <c r="G455">
        <v>151</v>
      </c>
      <c r="H455">
        <v>187</v>
      </c>
      <c r="I455" t="str">
        <f>VLOOKUP(Call_Center_Data[[#This Row],[Emp ID]],Employee[],2,FALSE)</f>
        <v>Ultor Simons</v>
      </c>
      <c r="J455" t="str">
        <f>VLOOKUP(Call_Center_Data[[#This Row],[Emp ID]], Employee[], 3, FALSE)</f>
        <v>Jacksonville, WA</v>
      </c>
      <c r="K455" t="str">
        <f>VLOOKUP(Call_Center_Data[[#This Row],[Emp ID]], Employee[], 4, FALSE)</f>
        <v>Pierce Hall</v>
      </c>
      <c r="L455" t="str">
        <f>VLOOKUP(Call_Center_Data[[#This Row],[Call Type ID]], Call_Type[], 2, FALSE)</f>
        <v>Billing</v>
      </c>
    </row>
    <row r="456" spans="1:12" x14ac:dyDescent="0.3">
      <c r="A456">
        <v>455</v>
      </c>
      <c r="B456">
        <v>3</v>
      </c>
      <c r="C456" s="1">
        <v>45049</v>
      </c>
      <c r="D456" s="2" t="s">
        <v>80</v>
      </c>
      <c r="E456">
        <v>1</v>
      </c>
      <c r="F456">
        <v>26</v>
      </c>
      <c r="G456">
        <v>157</v>
      </c>
      <c r="H456">
        <v>220</v>
      </c>
      <c r="I456" t="str">
        <f>VLOOKUP(Call_Center_Data[[#This Row],[Emp ID]],Employee[],2,FALSE)</f>
        <v>Tina Simons</v>
      </c>
      <c r="J456" t="str">
        <f>VLOOKUP(Call_Center_Data[[#This Row],[Emp ID]], Employee[], 3, FALSE)</f>
        <v>Aurora, CO</v>
      </c>
      <c r="K456" t="str">
        <f>VLOOKUP(Call_Center_Data[[#This Row],[Emp ID]], Employee[], 4, FALSE)</f>
        <v>Pierce Gill</v>
      </c>
      <c r="L456" t="str">
        <f>VLOOKUP(Call_Center_Data[[#This Row],[Call Type ID]], Call_Type[], 2, FALSE)</f>
        <v>Tech Sup</v>
      </c>
    </row>
    <row r="457" spans="1:12" x14ac:dyDescent="0.3">
      <c r="A457">
        <v>456</v>
      </c>
      <c r="B457">
        <v>3</v>
      </c>
      <c r="C457" s="1">
        <v>45050</v>
      </c>
      <c r="D457" s="2" t="s">
        <v>65</v>
      </c>
      <c r="E457">
        <v>1</v>
      </c>
      <c r="F457">
        <v>11</v>
      </c>
      <c r="G457">
        <v>133</v>
      </c>
      <c r="H457">
        <v>82</v>
      </c>
      <c r="I457" t="str">
        <f>VLOOKUP(Call_Center_Data[[#This Row],[Emp ID]],Employee[],2,FALSE)</f>
        <v>Ultor John</v>
      </c>
      <c r="J457" t="str">
        <f>VLOOKUP(Call_Center_Data[[#This Row],[Emp ID]], Employee[], 3, FALSE)</f>
        <v>Spokane, WA</v>
      </c>
      <c r="K457" t="str">
        <f>VLOOKUP(Call_Center_Data[[#This Row],[Emp ID]], Employee[], 4, FALSE)</f>
        <v>John Mack</v>
      </c>
      <c r="L457" t="str">
        <f>VLOOKUP(Call_Center_Data[[#This Row],[Call Type ID]], Call_Type[], 2, FALSE)</f>
        <v>Tech Sup</v>
      </c>
    </row>
    <row r="458" spans="1:12" x14ac:dyDescent="0.3">
      <c r="A458">
        <v>457</v>
      </c>
      <c r="B458">
        <v>2</v>
      </c>
      <c r="C458" s="1">
        <v>45051</v>
      </c>
      <c r="D458" s="2" t="s">
        <v>83</v>
      </c>
      <c r="E458">
        <v>0</v>
      </c>
      <c r="F458">
        <v>18</v>
      </c>
      <c r="G458">
        <v>147</v>
      </c>
      <c r="H458">
        <v>165</v>
      </c>
      <c r="I458" t="str">
        <f>VLOOKUP(Call_Center_Data[[#This Row],[Emp ID]],Employee[],2,FALSE)</f>
        <v>Ultor Simons</v>
      </c>
      <c r="J458" t="str">
        <f>VLOOKUP(Call_Center_Data[[#This Row],[Emp ID]], Employee[], 3, FALSE)</f>
        <v>Jacksonville, WA</v>
      </c>
      <c r="K458" t="str">
        <f>VLOOKUP(Call_Center_Data[[#This Row],[Emp ID]], Employee[], 4, FALSE)</f>
        <v>Pierce Hall</v>
      </c>
      <c r="L458" t="str">
        <f>VLOOKUP(Call_Center_Data[[#This Row],[Call Type ID]], Call_Type[], 2, FALSE)</f>
        <v>Sales</v>
      </c>
    </row>
    <row r="459" spans="1:12" x14ac:dyDescent="0.3">
      <c r="A459">
        <v>458</v>
      </c>
      <c r="B459">
        <v>2</v>
      </c>
      <c r="C459" s="1">
        <v>45052</v>
      </c>
      <c r="D459" s="2" t="s">
        <v>77</v>
      </c>
      <c r="E459">
        <v>1</v>
      </c>
      <c r="F459">
        <v>22</v>
      </c>
      <c r="G459">
        <v>167</v>
      </c>
      <c r="H459">
        <v>195</v>
      </c>
      <c r="I459" t="str">
        <f>VLOOKUP(Call_Center_Data[[#This Row],[Emp ID]],Employee[],2,FALSE)</f>
        <v>Sam Saab</v>
      </c>
      <c r="J459" t="str">
        <f>VLOOKUP(Call_Center_Data[[#This Row],[Emp ID]], Employee[], 3, FALSE)</f>
        <v>Aurora, CO</v>
      </c>
      <c r="K459" t="str">
        <f>VLOOKUP(Call_Center_Data[[#This Row],[Emp ID]], Employee[], 4, FALSE)</f>
        <v>Timmy Mack</v>
      </c>
      <c r="L459" t="str">
        <f>VLOOKUP(Call_Center_Data[[#This Row],[Call Type ID]], Call_Type[], 2, FALSE)</f>
        <v>Sales</v>
      </c>
    </row>
    <row r="460" spans="1:12" x14ac:dyDescent="0.3">
      <c r="A460">
        <v>459</v>
      </c>
      <c r="B460">
        <v>3</v>
      </c>
      <c r="C460" s="1">
        <v>45053</v>
      </c>
      <c r="D460" s="2" t="s">
        <v>78</v>
      </c>
      <c r="E460">
        <v>1</v>
      </c>
      <c r="F460">
        <v>23</v>
      </c>
      <c r="G460">
        <v>151</v>
      </c>
      <c r="H460">
        <v>288</v>
      </c>
      <c r="I460" t="str">
        <f>VLOOKUP(Call_Center_Data[[#This Row],[Emp ID]],Employee[],2,FALSE)</f>
        <v>Jill Saab</v>
      </c>
      <c r="J460" t="str">
        <f>VLOOKUP(Call_Center_Data[[#This Row],[Emp ID]], Employee[], 3, FALSE)</f>
        <v>Spokane, WA</v>
      </c>
      <c r="K460" t="str">
        <f>VLOOKUP(Call_Center_Data[[#This Row],[Emp ID]], Employee[], 4, FALSE)</f>
        <v>Timmy Gill</v>
      </c>
      <c r="L460" t="str">
        <f>VLOOKUP(Call_Center_Data[[#This Row],[Call Type ID]], Call_Type[], 2, FALSE)</f>
        <v>Tech Sup</v>
      </c>
    </row>
    <row r="461" spans="1:12" x14ac:dyDescent="0.3">
      <c r="A461">
        <v>460</v>
      </c>
      <c r="B461">
        <v>2</v>
      </c>
      <c r="C461" s="1">
        <v>45054</v>
      </c>
      <c r="D461" s="2" t="s">
        <v>87</v>
      </c>
      <c r="E461">
        <v>0</v>
      </c>
      <c r="F461">
        <v>14</v>
      </c>
      <c r="G461">
        <v>145</v>
      </c>
      <c r="H461">
        <v>89</v>
      </c>
      <c r="I461" t="str">
        <f>VLOOKUP(Call_Center_Data[[#This Row],[Emp ID]],Employee[],2,FALSE)</f>
        <v>Gina Saab</v>
      </c>
      <c r="J461" t="str">
        <f>VLOOKUP(Call_Center_Data[[#This Row],[Emp ID]], Employee[], 3, FALSE)</f>
        <v>Jacksonville, WA</v>
      </c>
      <c r="K461" t="str">
        <f>VLOOKUP(Call_Center_Data[[#This Row],[Emp ID]], Employee[], 4, FALSE)</f>
        <v>Jenny Gill</v>
      </c>
      <c r="L461" t="str">
        <f>VLOOKUP(Call_Center_Data[[#This Row],[Call Type ID]], Call_Type[], 2, FALSE)</f>
        <v>Sales</v>
      </c>
    </row>
    <row r="462" spans="1:12" x14ac:dyDescent="0.3">
      <c r="A462">
        <v>461</v>
      </c>
      <c r="B462">
        <v>3</v>
      </c>
      <c r="C462" s="1">
        <v>45055</v>
      </c>
      <c r="D462" s="2" t="s">
        <v>77</v>
      </c>
      <c r="E462">
        <v>0</v>
      </c>
      <c r="F462">
        <v>26</v>
      </c>
      <c r="G462">
        <v>156</v>
      </c>
      <c r="H462">
        <v>330</v>
      </c>
      <c r="I462" t="str">
        <f>VLOOKUP(Call_Center_Data[[#This Row],[Emp ID]],Employee[],2,FALSE)</f>
        <v>Sam Saab</v>
      </c>
      <c r="J462" t="str">
        <f>VLOOKUP(Call_Center_Data[[#This Row],[Emp ID]], Employee[], 3, FALSE)</f>
        <v>Aurora, CO</v>
      </c>
      <c r="K462" t="str">
        <f>VLOOKUP(Call_Center_Data[[#This Row],[Emp ID]], Employee[], 4, FALSE)</f>
        <v>Timmy Mack</v>
      </c>
      <c r="L462" t="str">
        <f>VLOOKUP(Call_Center_Data[[#This Row],[Call Type ID]], Call_Type[], 2, FALSE)</f>
        <v>Tech Sup</v>
      </c>
    </row>
    <row r="463" spans="1:12" x14ac:dyDescent="0.3">
      <c r="A463">
        <v>462</v>
      </c>
      <c r="B463">
        <v>2</v>
      </c>
      <c r="C463" s="1">
        <v>45056</v>
      </c>
      <c r="D463" s="2" t="s">
        <v>76</v>
      </c>
      <c r="E463">
        <v>0</v>
      </c>
      <c r="F463">
        <v>25</v>
      </c>
      <c r="G463">
        <v>150</v>
      </c>
      <c r="H463">
        <v>178</v>
      </c>
      <c r="I463" t="str">
        <f>VLOOKUP(Call_Center_Data[[#This Row],[Emp ID]],Employee[],2,FALSE)</f>
        <v>Ultor Saab</v>
      </c>
      <c r="J463" t="str">
        <f>VLOOKUP(Call_Center_Data[[#This Row],[Emp ID]], Employee[], 3, FALSE)</f>
        <v>Aurora, CO</v>
      </c>
      <c r="K463" t="str">
        <f>VLOOKUP(Call_Center_Data[[#This Row],[Emp ID]], Employee[], 4, FALSE)</f>
        <v>Pierce Baas</v>
      </c>
      <c r="L463" t="str">
        <f>VLOOKUP(Call_Center_Data[[#This Row],[Call Type ID]], Call_Type[], 2, FALSE)</f>
        <v>Sales</v>
      </c>
    </row>
    <row r="464" spans="1:12" x14ac:dyDescent="0.3">
      <c r="A464">
        <v>463</v>
      </c>
      <c r="B464">
        <v>1</v>
      </c>
      <c r="C464" s="1">
        <v>45057</v>
      </c>
      <c r="D464" s="2" t="s">
        <v>83</v>
      </c>
      <c r="E464">
        <v>0</v>
      </c>
      <c r="F464">
        <v>18</v>
      </c>
      <c r="G464">
        <v>160</v>
      </c>
      <c r="H464">
        <v>183</v>
      </c>
      <c r="I464" t="str">
        <f>VLOOKUP(Call_Center_Data[[#This Row],[Emp ID]],Employee[],2,FALSE)</f>
        <v>Ultor Simons</v>
      </c>
      <c r="J464" t="str">
        <f>VLOOKUP(Call_Center_Data[[#This Row],[Emp ID]], Employee[], 3, FALSE)</f>
        <v>Jacksonville, WA</v>
      </c>
      <c r="K464" t="str">
        <f>VLOOKUP(Call_Center_Data[[#This Row],[Emp ID]], Employee[], 4, FALSE)</f>
        <v>Pierce Hall</v>
      </c>
      <c r="L464" t="str">
        <f>VLOOKUP(Call_Center_Data[[#This Row],[Call Type ID]], Call_Type[], 2, FALSE)</f>
        <v>Billing</v>
      </c>
    </row>
    <row r="465" spans="1:12" x14ac:dyDescent="0.3">
      <c r="A465">
        <v>464</v>
      </c>
      <c r="B465">
        <v>2</v>
      </c>
      <c r="C465" s="1">
        <v>45058</v>
      </c>
      <c r="D465" s="2" t="s">
        <v>80</v>
      </c>
      <c r="E465">
        <v>1</v>
      </c>
      <c r="F465">
        <v>26</v>
      </c>
      <c r="G465">
        <v>147</v>
      </c>
      <c r="H465">
        <v>112</v>
      </c>
      <c r="I465" t="str">
        <f>VLOOKUP(Call_Center_Data[[#This Row],[Emp ID]],Employee[],2,FALSE)</f>
        <v>Tina Simons</v>
      </c>
      <c r="J465" t="str">
        <f>VLOOKUP(Call_Center_Data[[#This Row],[Emp ID]], Employee[], 3, FALSE)</f>
        <v>Aurora, CO</v>
      </c>
      <c r="K465" t="str">
        <f>VLOOKUP(Call_Center_Data[[#This Row],[Emp ID]], Employee[], 4, FALSE)</f>
        <v>Pierce Gill</v>
      </c>
      <c r="L465" t="str">
        <f>VLOOKUP(Call_Center_Data[[#This Row],[Call Type ID]], Call_Type[], 2, FALSE)</f>
        <v>Sales</v>
      </c>
    </row>
    <row r="466" spans="1:12" x14ac:dyDescent="0.3">
      <c r="A466">
        <v>465</v>
      </c>
      <c r="B466">
        <v>2</v>
      </c>
      <c r="C466" s="1">
        <v>45059</v>
      </c>
      <c r="D466" s="2" t="s">
        <v>84</v>
      </c>
      <c r="E466">
        <v>1</v>
      </c>
      <c r="F466">
        <v>22</v>
      </c>
      <c r="G466">
        <v>149</v>
      </c>
      <c r="H466">
        <v>220</v>
      </c>
      <c r="I466" t="str">
        <f>VLOOKUP(Call_Center_Data[[#This Row],[Emp ID]],Employee[],2,FALSE)</f>
        <v>Sam John</v>
      </c>
      <c r="J466" t="str">
        <f>VLOOKUP(Call_Center_Data[[#This Row],[Emp ID]], Employee[], 3, FALSE)</f>
        <v>Aurora, CO</v>
      </c>
      <c r="K466" t="str">
        <f>VLOOKUP(Call_Center_Data[[#This Row],[Emp ID]], Employee[], 4, FALSE)</f>
        <v>Jenny Mack</v>
      </c>
      <c r="L466" t="str">
        <f>VLOOKUP(Call_Center_Data[[#This Row],[Call Type ID]], Call_Type[], 2, FALSE)</f>
        <v>Sales</v>
      </c>
    </row>
    <row r="467" spans="1:12" x14ac:dyDescent="0.3">
      <c r="A467">
        <v>466</v>
      </c>
      <c r="B467">
        <v>1</v>
      </c>
      <c r="C467" s="1">
        <v>45060</v>
      </c>
      <c r="D467" s="2" t="s">
        <v>64</v>
      </c>
      <c r="E467">
        <v>1</v>
      </c>
      <c r="F467">
        <v>20</v>
      </c>
      <c r="G467">
        <v>156</v>
      </c>
      <c r="H467">
        <v>173</v>
      </c>
      <c r="I467" t="str">
        <f>VLOOKUP(Call_Center_Data[[#This Row],[Emp ID]],Employee[],2,FALSE)</f>
        <v>Jill Simons</v>
      </c>
      <c r="J467" t="str">
        <f>VLOOKUP(Call_Center_Data[[#This Row],[Emp ID]], Employee[], 3, FALSE)</f>
        <v>Spokane, WA</v>
      </c>
      <c r="K467" t="str">
        <f>VLOOKUP(Call_Center_Data[[#This Row],[Emp ID]], Employee[], 4, FALSE)</f>
        <v>Jenny Rhodes</v>
      </c>
      <c r="L467" t="str">
        <f>VLOOKUP(Call_Center_Data[[#This Row],[Call Type ID]], Call_Type[], 2, FALSE)</f>
        <v>Billing</v>
      </c>
    </row>
    <row r="468" spans="1:12" x14ac:dyDescent="0.3">
      <c r="A468">
        <v>467</v>
      </c>
      <c r="B468">
        <v>2</v>
      </c>
      <c r="C468" s="1">
        <v>45061</v>
      </c>
      <c r="D468" s="2" t="s">
        <v>74</v>
      </c>
      <c r="E468">
        <v>0</v>
      </c>
      <c r="F468">
        <v>18</v>
      </c>
      <c r="G468">
        <v>187</v>
      </c>
      <c r="H468">
        <v>96</v>
      </c>
      <c r="I468" t="str">
        <f>VLOOKUP(Call_Center_Data[[#This Row],[Emp ID]],Employee[],2,FALSE)</f>
        <v>Gina John</v>
      </c>
      <c r="J468" t="str">
        <f>VLOOKUP(Call_Center_Data[[#This Row],[Emp ID]], Employee[], 3, FALSE)</f>
        <v>Jacksonville, WA</v>
      </c>
      <c r="K468" t="str">
        <f>VLOOKUP(Call_Center_Data[[#This Row],[Emp ID]], Employee[], 4, FALSE)</f>
        <v>Henry Gill</v>
      </c>
      <c r="L468" t="str">
        <f>VLOOKUP(Call_Center_Data[[#This Row],[Call Type ID]], Call_Type[], 2, FALSE)</f>
        <v>Sales</v>
      </c>
    </row>
    <row r="469" spans="1:12" x14ac:dyDescent="0.3">
      <c r="A469">
        <v>468</v>
      </c>
      <c r="B469">
        <v>3</v>
      </c>
      <c r="C469" s="1">
        <v>45062</v>
      </c>
      <c r="D469" s="2" t="s">
        <v>67</v>
      </c>
      <c r="E469">
        <v>1</v>
      </c>
      <c r="F469">
        <v>18</v>
      </c>
      <c r="G469">
        <v>159</v>
      </c>
      <c r="H469">
        <v>163</v>
      </c>
      <c r="I469" t="str">
        <f>VLOOKUP(Call_Center_Data[[#This Row],[Emp ID]],Employee[],2,FALSE)</f>
        <v>Tina Pat</v>
      </c>
      <c r="J469" t="str">
        <f>VLOOKUP(Call_Center_Data[[#This Row],[Emp ID]], Employee[], 3, FALSE)</f>
        <v>Jacksonville, WA</v>
      </c>
      <c r="K469" t="str">
        <f>VLOOKUP(Call_Center_Data[[#This Row],[Emp ID]], Employee[], 4, FALSE)</f>
        <v>John Hall</v>
      </c>
      <c r="L469" t="str">
        <f>VLOOKUP(Call_Center_Data[[#This Row],[Call Type ID]], Call_Type[], 2, FALSE)</f>
        <v>Tech Sup</v>
      </c>
    </row>
    <row r="470" spans="1:12" x14ac:dyDescent="0.3">
      <c r="A470">
        <v>469</v>
      </c>
      <c r="B470">
        <v>3</v>
      </c>
      <c r="C470" s="1">
        <v>45063</v>
      </c>
      <c r="D470" s="2" t="s">
        <v>77</v>
      </c>
      <c r="E470">
        <v>1</v>
      </c>
      <c r="F470">
        <v>21</v>
      </c>
      <c r="G470">
        <v>157</v>
      </c>
      <c r="H470">
        <v>165</v>
      </c>
      <c r="I470" t="str">
        <f>VLOOKUP(Call_Center_Data[[#This Row],[Emp ID]],Employee[],2,FALSE)</f>
        <v>Sam Saab</v>
      </c>
      <c r="J470" t="str">
        <f>VLOOKUP(Call_Center_Data[[#This Row],[Emp ID]], Employee[], 3, FALSE)</f>
        <v>Aurora, CO</v>
      </c>
      <c r="K470" t="str">
        <f>VLOOKUP(Call_Center_Data[[#This Row],[Emp ID]], Employee[], 4, FALSE)</f>
        <v>Timmy Mack</v>
      </c>
      <c r="L470" t="str">
        <f>VLOOKUP(Call_Center_Data[[#This Row],[Call Type ID]], Call_Type[], 2, FALSE)</f>
        <v>Tech Sup</v>
      </c>
    </row>
    <row r="471" spans="1:12" x14ac:dyDescent="0.3">
      <c r="A471">
        <v>470</v>
      </c>
      <c r="B471">
        <v>1</v>
      </c>
      <c r="C471" s="1">
        <v>45064</v>
      </c>
      <c r="D471" s="2" t="s">
        <v>70</v>
      </c>
      <c r="E471">
        <v>0</v>
      </c>
      <c r="F471">
        <v>31</v>
      </c>
      <c r="G471">
        <v>150</v>
      </c>
      <c r="H471">
        <v>220</v>
      </c>
      <c r="I471" t="str">
        <f>VLOOKUP(Call_Center_Data[[#This Row],[Emp ID]],Employee[],2,FALSE)</f>
        <v>Jill Pat</v>
      </c>
      <c r="J471" t="str">
        <f>VLOOKUP(Call_Center_Data[[#This Row],[Emp ID]], Employee[], 3, FALSE)</f>
        <v>Aurora, CO</v>
      </c>
      <c r="K471" t="str">
        <f>VLOOKUP(Call_Center_Data[[#This Row],[Emp ID]], Employee[], 4, FALSE)</f>
        <v>Henry Rhodes</v>
      </c>
      <c r="L471" t="str">
        <f>VLOOKUP(Call_Center_Data[[#This Row],[Call Type ID]], Call_Type[], 2, FALSE)</f>
        <v>Billing</v>
      </c>
    </row>
    <row r="472" spans="1:12" x14ac:dyDescent="0.3">
      <c r="A472">
        <v>471</v>
      </c>
      <c r="B472">
        <v>2</v>
      </c>
      <c r="C472" s="1">
        <v>45065</v>
      </c>
      <c r="D472" s="2" t="s">
        <v>87</v>
      </c>
      <c r="E472">
        <v>1</v>
      </c>
      <c r="F472">
        <v>22</v>
      </c>
      <c r="G472">
        <v>145</v>
      </c>
      <c r="H472">
        <v>148</v>
      </c>
      <c r="I472" t="str">
        <f>VLOOKUP(Call_Center_Data[[#This Row],[Emp ID]],Employee[],2,FALSE)</f>
        <v>Gina Saab</v>
      </c>
      <c r="J472" t="str">
        <f>VLOOKUP(Call_Center_Data[[#This Row],[Emp ID]], Employee[], 3, FALSE)</f>
        <v>Jacksonville, WA</v>
      </c>
      <c r="K472" t="str">
        <f>VLOOKUP(Call_Center_Data[[#This Row],[Emp ID]], Employee[], 4, FALSE)</f>
        <v>Jenny Gill</v>
      </c>
      <c r="L472" t="str">
        <f>VLOOKUP(Call_Center_Data[[#This Row],[Call Type ID]], Call_Type[], 2, FALSE)</f>
        <v>Sales</v>
      </c>
    </row>
    <row r="473" spans="1:12" x14ac:dyDescent="0.3">
      <c r="A473">
        <v>472</v>
      </c>
      <c r="B473">
        <v>1</v>
      </c>
      <c r="C473" s="1">
        <v>45066</v>
      </c>
      <c r="D473" s="2" t="s">
        <v>68</v>
      </c>
      <c r="E473">
        <v>0</v>
      </c>
      <c r="F473">
        <v>8</v>
      </c>
      <c r="G473">
        <v>147</v>
      </c>
      <c r="H473">
        <v>96</v>
      </c>
      <c r="I473" t="str">
        <f>VLOOKUP(Call_Center_Data[[#This Row],[Emp ID]],Employee[],2,FALSE)</f>
        <v>Tina Saab</v>
      </c>
      <c r="J473" t="str">
        <f>VLOOKUP(Call_Center_Data[[#This Row],[Emp ID]], Employee[], 3, FALSE)</f>
        <v>Spokane, WA</v>
      </c>
      <c r="K473" t="str">
        <f>VLOOKUP(Call_Center_Data[[#This Row],[Emp ID]], Employee[], 4, FALSE)</f>
        <v>Henry Baas</v>
      </c>
      <c r="L473" t="str">
        <f>VLOOKUP(Call_Center_Data[[#This Row],[Call Type ID]], Call_Type[], 2, FALSE)</f>
        <v>Billing</v>
      </c>
    </row>
    <row r="474" spans="1:12" x14ac:dyDescent="0.3">
      <c r="A474">
        <v>473</v>
      </c>
      <c r="B474">
        <v>2</v>
      </c>
      <c r="C474" s="1">
        <v>45067</v>
      </c>
      <c r="D474" s="2" t="s">
        <v>71</v>
      </c>
      <c r="E474">
        <v>1</v>
      </c>
      <c r="F474">
        <v>24</v>
      </c>
      <c r="G474">
        <v>158</v>
      </c>
      <c r="H474">
        <v>268</v>
      </c>
      <c r="I474" t="str">
        <f>VLOOKUP(Call_Center_Data[[#This Row],[Emp ID]],Employee[],2,FALSE)</f>
        <v>Sam Pat</v>
      </c>
      <c r="J474" t="str">
        <f>VLOOKUP(Call_Center_Data[[#This Row],[Emp ID]], Employee[], 3, FALSE)</f>
        <v>Aurora, CO</v>
      </c>
      <c r="K474" t="str">
        <f>VLOOKUP(Call_Center_Data[[#This Row],[Emp ID]], Employee[], 4, FALSE)</f>
        <v>Henry Mack</v>
      </c>
      <c r="L474" t="str">
        <f>VLOOKUP(Call_Center_Data[[#This Row],[Call Type ID]], Call_Type[], 2, FALSE)</f>
        <v>Sales</v>
      </c>
    </row>
    <row r="475" spans="1:12" x14ac:dyDescent="0.3">
      <c r="A475">
        <v>474</v>
      </c>
      <c r="B475">
        <v>3</v>
      </c>
      <c r="C475" s="1">
        <v>45068</v>
      </c>
      <c r="D475" s="2" t="s">
        <v>72</v>
      </c>
      <c r="E475">
        <v>1</v>
      </c>
      <c r="F475">
        <v>32</v>
      </c>
      <c r="G475">
        <v>151</v>
      </c>
      <c r="H475">
        <v>85</v>
      </c>
      <c r="I475" t="str">
        <f>VLOOKUP(Call_Center_Data[[#This Row],[Emp ID]],Employee[],2,FALSE)</f>
        <v>Ultor Pat</v>
      </c>
      <c r="J475" t="str">
        <f>VLOOKUP(Call_Center_Data[[#This Row],[Emp ID]], Employee[], 3, FALSE)</f>
        <v>Jacksonville, WA</v>
      </c>
      <c r="K475" t="str">
        <f>VLOOKUP(Call_Center_Data[[#This Row],[Emp ID]], Employee[], 4, FALSE)</f>
        <v>Jenny Hall</v>
      </c>
      <c r="L475" t="str">
        <f>VLOOKUP(Call_Center_Data[[#This Row],[Call Type ID]], Call_Type[], 2, FALSE)</f>
        <v>Tech Sup</v>
      </c>
    </row>
    <row r="476" spans="1:12" x14ac:dyDescent="0.3">
      <c r="A476">
        <v>475</v>
      </c>
      <c r="B476">
        <v>3</v>
      </c>
      <c r="C476" s="1">
        <v>45069</v>
      </c>
      <c r="D476" s="2" t="s">
        <v>83</v>
      </c>
      <c r="E476">
        <v>1</v>
      </c>
      <c r="F476">
        <v>37</v>
      </c>
      <c r="G476">
        <v>164</v>
      </c>
      <c r="H476">
        <v>165</v>
      </c>
      <c r="I476" t="str">
        <f>VLOOKUP(Call_Center_Data[[#This Row],[Emp ID]],Employee[],2,FALSE)</f>
        <v>Ultor Simons</v>
      </c>
      <c r="J476" t="str">
        <f>VLOOKUP(Call_Center_Data[[#This Row],[Emp ID]], Employee[], 3, FALSE)</f>
        <v>Jacksonville, WA</v>
      </c>
      <c r="K476" t="str">
        <f>VLOOKUP(Call_Center_Data[[#This Row],[Emp ID]], Employee[], 4, FALSE)</f>
        <v>Pierce Hall</v>
      </c>
      <c r="L476" t="str">
        <f>VLOOKUP(Call_Center_Data[[#This Row],[Call Type ID]], Call_Type[], 2, FALSE)</f>
        <v>Tech Sup</v>
      </c>
    </row>
    <row r="477" spans="1:12" x14ac:dyDescent="0.3">
      <c r="A477">
        <v>476</v>
      </c>
      <c r="B477">
        <v>1</v>
      </c>
      <c r="C477" s="1">
        <v>45070</v>
      </c>
      <c r="D477" s="2" t="s">
        <v>82</v>
      </c>
      <c r="E477">
        <v>0</v>
      </c>
      <c r="F477">
        <v>24</v>
      </c>
      <c r="G477">
        <v>132</v>
      </c>
      <c r="H477">
        <v>136</v>
      </c>
      <c r="I477" t="str">
        <f>VLOOKUP(Call_Center_Data[[#This Row],[Emp ID]],Employee[],2,FALSE)</f>
        <v>Ultor Gilder</v>
      </c>
      <c r="J477" t="str">
        <f>VLOOKUP(Call_Center_Data[[#This Row],[Emp ID]], Employee[], 3, FALSE)</f>
        <v>Aurora, CO</v>
      </c>
      <c r="K477" t="str">
        <f>VLOOKUP(Call_Center_Data[[#This Row],[Emp ID]], Employee[], 4, FALSE)</f>
        <v>Pierce Mack</v>
      </c>
      <c r="L477" t="str">
        <f>VLOOKUP(Call_Center_Data[[#This Row],[Call Type ID]], Call_Type[], 2, FALSE)</f>
        <v>Billing</v>
      </c>
    </row>
    <row r="478" spans="1:12" x14ac:dyDescent="0.3">
      <c r="A478">
        <v>477</v>
      </c>
      <c r="B478">
        <v>1</v>
      </c>
      <c r="C478" s="1">
        <v>45071</v>
      </c>
      <c r="D478" s="2" t="s">
        <v>69</v>
      </c>
      <c r="E478">
        <v>1</v>
      </c>
      <c r="F478">
        <v>38</v>
      </c>
      <c r="G478">
        <v>152</v>
      </c>
      <c r="H478">
        <v>321</v>
      </c>
      <c r="I478" t="str">
        <f>VLOOKUP(Call_Center_Data[[#This Row],[Emp ID]],Employee[],2,FALSE)</f>
        <v>Sam Gilder</v>
      </c>
      <c r="J478" t="str">
        <f>VLOOKUP(Call_Center_Data[[#This Row],[Emp ID]], Employee[], 3, FALSE)</f>
        <v>Jacksonville, WA</v>
      </c>
      <c r="K478" t="str">
        <f>VLOOKUP(Call_Center_Data[[#This Row],[Emp ID]], Employee[], 4, FALSE)</f>
        <v>Timmy Hall</v>
      </c>
      <c r="L478" t="str">
        <f>VLOOKUP(Call_Center_Data[[#This Row],[Call Type ID]], Call_Type[], 2, FALSE)</f>
        <v>Billing</v>
      </c>
    </row>
    <row r="479" spans="1:12" x14ac:dyDescent="0.3">
      <c r="A479">
        <v>478</v>
      </c>
      <c r="B479">
        <v>2</v>
      </c>
      <c r="C479" s="1">
        <v>45072</v>
      </c>
      <c r="D479" s="2" t="s">
        <v>75</v>
      </c>
      <c r="E479">
        <v>1</v>
      </c>
      <c r="F479">
        <v>32</v>
      </c>
      <c r="G479">
        <v>154</v>
      </c>
      <c r="H479">
        <v>188</v>
      </c>
      <c r="I479" t="str">
        <f>VLOOKUP(Call_Center_Data[[#This Row],[Emp ID]],Employee[],2,FALSE)</f>
        <v>Gina Pat</v>
      </c>
      <c r="J479" t="str">
        <f>VLOOKUP(Call_Center_Data[[#This Row],[Emp ID]], Employee[], 3, FALSE)</f>
        <v>Spokane, WA</v>
      </c>
      <c r="K479" t="str">
        <f>VLOOKUP(Call_Center_Data[[#This Row],[Emp ID]], Employee[], 4, FALSE)</f>
        <v>Henry Hall</v>
      </c>
      <c r="L479" t="str">
        <f>VLOOKUP(Call_Center_Data[[#This Row],[Call Type ID]], Call_Type[], 2, FALSE)</f>
        <v>Sales</v>
      </c>
    </row>
    <row r="480" spans="1:12" x14ac:dyDescent="0.3">
      <c r="A480">
        <v>479</v>
      </c>
      <c r="B480">
        <v>2</v>
      </c>
      <c r="C480" s="1">
        <v>45073</v>
      </c>
      <c r="D480" s="2" t="s">
        <v>66</v>
      </c>
      <c r="E480">
        <v>1</v>
      </c>
      <c r="F480">
        <v>22</v>
      </c>
      <c r="G480">
        <v>158</v>
      </c>
      <c r="H480">
        <v>147</v>
      </c>
      <c r="I480" t="str">
        <f>VLOOKUP(Call_Center_Data[[#This Row],[Emp ID]],Employee[],2,FALSE)</f>
        <v>Tina John</v>
      </c>
      <c r="J480" t="str">
        <f>VLOOKUP(Call_Center_Data[[#This Row],[Emp ID]], Employee[], 3, FALSE)</f>
        <v>Aurora, CO</v>
      </c>
      <c r="K480" t="str">
        <f>VLOOKUP(Call_Center_Data[[#This Row],[Emp ID]], Employee[], 4, FALSE)</f>
        <v>Timmy Rhodes</v>
      </c>
      <c r="L480" t="str">
        <f>VLOOKUP(Call_Center_Data[[#This Row],[Call Type ID]], Call_Type[], 2, FALSE)</f>
        <v>Sales</v>
      </c>
    </row>
    <row r="481" spans="1:12" x14ac:dyDescent="0.3">
      <c r="A481">
        <v>480</v>
      </c>
      <c r="B481">
        <v>2</v>
      </c>
      <c r="C481" s="1">
        <v>45074</v>
      </c>
      <c r="D481" s="2" t="s">
        <v>78</v>
      </c>
      <c r="E481">
        <v>0</v>
      </c>
      <c r="F481">
        <v>39</v>
      </c>
      <c r="G481">
        <v>170</v>
      </c>
      <c r="H481">
        <v>496</v>
      </c>
      <c r="I481" t="str">
        <f>VLOOKUP(Call_Center_Data[[#This Row],[Emp ID]],Employee[],2,FALSE)</f>
        <v>Jill Saab</v>
      </c>
      <c r="J481" t="str">
        <f>VLOOKUP(Call_Center_Data[[#This Row],[Emp ID]], Employee[], 3, FALSE)</f>
        <v>Spokane, WA</v>
      </c>
      <c r="K481" t="str">
        <f>VLOOKUP(Call_Center_Data[[#This Row],[Emp ID]], Employee[], 4, FALSE)</f>
        <v>Timmy Gill</v>
      </c>
      <c r="L481" t="str">
        <f>VLOOKUP(Call_Center_Data[[#This Row],[Call Type ID]], Call_Type[], 2, FALSE)</f>
        <v>Sales</v>
      </c>
    </row>
    <row r="482" spans="1:12" x14ac:dyDescent="0.3">
      <c r="A482">
        <v>481</v>
      </c>
      <c r="B482">
        <v>2</v>
      </c>
      <c r="C482" s="1">
        <v>45075</v>
      </c>
      <c r="D482" s="2" t="s">
        <v>79</v>
      </c>
      <c r="E482">
        <v>0</v>
      </c>
      <c r="F482">
        <v>35</v>
      </c>
      <c r="G482">
        <v>175</v>
      </c>
      <c r="H482">
        <v>142</v>
      </c>
      <c r="I482" t="str">
        <f>VLOOKUP(Call_Center_Data[[#This Row],[Emp ID]],Employee[],2,FALSE)</f>
        <v>Gina Simons</v>
      </c>
      <c r="J482" t="str">
        <f>VLOOKUP(Call_Center_Data[[#This Row],[Emp ID]], Employee[], 3, FALSE)</f>
        <v>Spokane, WA</v>
      </c>
      <c r="K482" t="str">
        <f>VLOOKUP(Call_Center_Data[[#This Row],[Emp ID]], Employee[], 4, FALSE)</f>
        <v>John Rhodes</v>
      </c>
      <c r="L482" t="str">
        <f>VLOOKUP(Call_Center_Data[[#This Row],[Call Type ID]], Call_Type[], 2, FALSE)</f>
        <v>Sales</v>
      </c>
    </row>
    <row r="483" spans="1:12" x14ac:dyDescent="0.3">
      <c r="A483">
        <v>482</v>
      </c>
      <c r="B483">
        <v>2</v>
      </c>
      <c r="C483" s="1">
        <v>45076</v>
      </c>
      <c r="D483" s="2" t="s">
        <v>83</v>
      </c>
      <c r="E483">
        <v>1</v>
      </c>
      <c r="F483">
        <v>16</v>
      </c>
      <c r="G483">
        <v>163</v>
      </c>
      <c r="H483">
        <v>231</v>
      </c>
      <c r="I483" t="str">
        <f>VLOOKUP(Call_Center_Data[[#This Row],[Emp ID]],Employee[],2,FALSE)</f>
        <v>Ultor Simons</v>
      </c>
      <c r="J483" t="str">
        <f>VLOOKUP(Call_Center_Data[[#This Row],[Emp ID]], Employee[], 3, FALSE)</f>
        <v>Jacksonville, WA</v>
      </c>
      <c r="K483" t="str">
        <f>VLOOKUP(Call_Center_Data[[#This Row],[Emp ID]], Employee[], 4, FALSE)</f>
        <v>Pierce Hall</v>
      </c>
      <c r="L483" t="str">
        <f>VLOOKUP(Call_Center_Data[[#This Row],[Call Type ID]], Call_Type[], 2, FALSE)</f>
        <v>Sales</v>
      </c>
    </row>
    <row r="484" spans="1:12" x14ac:dyDescent="0.3">
      <c r="A484">
        <v>483</v>
      </c>
      <c r="B484">
        <v>2</v>
      </c>
      <c r="C484" s="1">
        <v>45077</v>
      </c>
      <c r="D484" s="2" t="s">
        <v>81</v>
      </c>
      <c r="E484">
        <v>0</v>
      </c>
      <c r="F484">
        <v>21</v>
      </c>
      <c r="G484">
        <v>151</v>
      </c>
      <c r="H484">
        <v>238</v>
      </c>
      <c r="I484" t="str">
        <f>VLOOKUP(Call_Center_Data[[#This Row],[Emp ID]],Employee[],2,FALSE)</f>
        <v>Sam Simons</v>
      </c>
      <c r="J484" t="str">
        <f>VLOOKUP(Call_Center_Data[[#This Row],[Emp ID]], Employee[], 3, FALSE)</f>
        <v>Jacksonville, WA</v>
      </c>
      <c r="K484" t="str">
        <f>VLOOKUP(Call_Center_Data[[#This Row],[Emp ID]], Employee[], 4, FALSE)</f>
        <v>John Baas</v>
      </c>
      <c r="L484" t="str">
        <f>VLOOKUP(Call_Center_Data[[#This Row],[Call Type ID]], Call_Type[], 2, FALSE)</f>
        <v>Sales</v>
      </c>
    </row>
    <row r="485" spans="1:12" x14ac:dyDescent="0.3">
      <c r="A485">
        <v>484</v>
      </c>
      <c r="B485">
        <v>3</v>
      </c>
      <c r="C485" s="1">
        <v>45078</v>
      </c>
      <c r="D485" s="2" t="s">
        <v>85</v>
      </c>
      <c r="E485">
        <v>0</v>
      </c>
      <c r="F485">
        <v>24</v>
      </c>
      <c r="G485">
        <v>142</v>
      </c>
      <c r="H485">
        <v>128</v>
      </c>
      <c r="I485" t="str">
        <f>VLOOKUP(Call_Center_Data[[#This Row],[Emp ID]],Employee[],2,FALSE)</f>
        <v>Tina Gilder</v>
      </c>
      <c r="J485" t="str">
        <f>VLOOKUP(Call_Center_Data[[#This Row],[Emp ID]], Employee[], 3, FALSE)</f>
        <v>Spokane, WA</v>
      </c>
      <c r="K485" t="str">
        <f>VLOOKUP(Call_Center_Data[[#This Row],[Emp ID]], Employee[], 4, FALSE)</f>
        <v>Timmy Baas</v>
      </c>
      <c r="L485" t="str">
        <f>VLOOKUP(Call_Center_Data[[#This Row],[Call Type ID]], Call_Type[], 2, FALSE)</f>
        <v>Tech Sup</v>
      </c>
    </row>
    <row r="486" spans="1:12" x14ac:dyDescent="0.3">
      <c r="A486">
        <v>485</v>
      </c>
      <c r="B486">
        <v>3</v>
      </c>
      <c r="C486" s="1">
        <v>45079</v>
      </c>
      <c r="D486" s="2" t="s">
        <v>68</v>
      </c>
      <c r="E486">
        <v>0</v>
      </c>
      <c r="F486">
        <v>26</v>
      </c>
      <c r="G486">
        <v>151</v>
      </c>
      <c r="H486">
        <v>230</v>
      </c>
      <c r="I486" t="str">
        <f>VLOOKUP(Call_Center_Data[[#This Row],[Emp ID]],Employee[],2,FALSE)</f>
        <v>Tina Saab</v>
      </c>
      <c r="J486" t="str">
        <f>VLOOKUP(Call_Center_Data[[#This Row],[Emp ID]], Employee[], 3, FALSE)</f>
        <v>Spokane, WA</v>
      </c>
      <c r="K486" t="str">
        <f>VLOOKUP(Call_Center_Data[[#This Row],[Emp ID]], Employee[], 4, FALSE)</f>
        <v>Henry Baas</v>
      </c>
      <c r="L486" t="str">
        <f>VLOOKUP(Call_Center_Data[[#This Row],[Call Type ID]], Call_Type[], 2, FALSE)</f>
        <v>Tech Sup</v>
      </c>
    </row>
    <row r="487" spans="1:12" x14ac:dyDescent="0.3">
      <c r="A487">
        <v>486</v>
      </c>
      <c r="B487">
        <v>1</v>
      </c>
      <c r="C487" s="1">
        <v>45080</v>
      </c>
      <c r="D487" s="2" t="s">
        <v>83</v>
      </c>
      <c r="E487">
        <v>0</v>
      </c>
      <c r="F487">
        <v>23</v>
      </c>
      <c r="G487">
        <v>155</v>
      </c>
      <c r="H487">
        <v>165</v>
      </c>
      <c r="I487" t="str">
        <f>VLOOKUP(Call_Center_Data[[#This Row],[Emp ID]],Employee[],2,FALSE)</f>
        <v>Ultor Simons</v>
      </c>
      <c r="J487" t="str">
        <f>VLOOKUP(Call_Center_Data[[#This Row],[Emp ID]], Employee[], 3, FALSE)</f>
        <v>Jacksonville, WA</v>
      </c>
      <c r="K487" t="str">
        <f>VLOOKUP(Call_Center_Data[[#This Row],[Emp ID]], Employee[], 4, FALSE)</f>
        <v>Pierce Hall</v>
      </c>
      <c r="L487" t="str">
        <f>VLOOKUP(Call_Center_Data[[#This Row],[Call Type ID]], Call_Type[], 2, FALSE)</f>
        <v>Billing</v>
      </c>
    </row>
    <row r="488" spans="1:12" x14ac:dyDescent="0.3">
      <c r="A488">
        <v>487</v>
      </c>
      <c r="B488">
        <v>1</v>
      </c>
      <c r="C488" s="1">
        <v>45081</v>
      </c>
      <c r="D488" s="2" t="s">
        <v>88</v>
      </c>
      <c r="E488">
        <v>1</v>
      </c>
      <c r="F488">
        <v>38</v>
      </c>
      <c r="G488">
        <v>162</v>
      </c>
      <c r="H488">
        <v>436</v>
      </c>
      <c r="I488" t="str">
        <f>VLOOKUP(Call_Center_Data[[#This Row],[Emp ID]],Employee[],2,FALSE)</f>
        <v>Gina Gilder</v>
      </c>
      <c r="J488" t="str">
        <f>VLOOKUP(Call_Center_Data[[#This Row],[Emp ID]], Employee[], 3, FALSE)</f>
        <v>Jacksonville, WA</v>
      </c>
      <c r="K488" t="str">
        <f>VLOOKUP(Call_Center_Data[[#This Row],[Emp ID]], Employee[], 4, FALSE)</f>
        <v>Pierce Rhodes</v>
      </c>
      <c r="L488" t="str">
        <f>VLOOKUP(Call_Center_Data[[#This Row],[Call Type ID]], Call_Type[], 2, FALSE)</f>
        <v>Billing</v>
      </c>
    </row>
    <row r="489" spans="1:12" x14ac:dyDescent="0.3">
      <c r="A489">
        <v>488</v>
      </c>
      <c r="B489">
        <v>3</v>
      </c>
      <c r="C489" s="1">
        <v>45082</v>
      </c>
      <c r="D489" s="2" t="s">
        <v>85</v>
      </c>
      <c r="E489">
        <v>0</v>
      </c>
      <c r="F489">
        <v>26</v>
      </c>
      <c r="G489">
        <v>203</v>
      </c>
      <c r="H489">
        <v>136</v>
      </c>
      <c r="I489" t="str">
        <f>VLOOKUP(Call_Center_Data[[#This Row],[Emp ID]],Employee[],2,FALSE)</f>
        <v>Tina Gilder</v>
      </c>
      <c r="J489" t="str">
        <f>VLOOKUP(Call_Center_Data[[#This Row],[Emp ID]], Employee[], 3, FALSE)</f>
        <v>Spokane, WA</v>
      </c>
      <c r="K489" t="str">
        <f>VLOOKUP(Call_Center_Data[[#This Row],[Emp ID]], Employee[], 4, FALSE)</f>
        <v>Timmy Baas</v>
      </c>
      <c r="L489" t="str">
        <f>VLOOKUP(Call_Center_Data[[#This Row],[Call Type ID]], Call_Type[], 2, FALSE)</f>
        <v>Tech Sup</v>
      </c>
    </row>
    <row r="490" spans="1:12" x14ac:dyDescent="0.3">
      <c r="A490">
        <v>489</v>
      </c>
      <c r="B490">
        <v>2</v>
      </c>
      <c r="C490" s="1">
        <v>45083</v>
      </c>
      <c r="D490" s="2" t="s">
        <v>70</v>
      </c>
      <c r="E490">
        <v>0</v>
      </c>
      <c r="F490">
        <v>18</v>
      </c>
      <c r="G490">
        <v>154</v>
      </c>
      <c r="H490">
        <v>381</v>
      </c>
      <c r="I490" t="str">
        <f>VLOOKUP(Call_Center_Data[[#This Row],[Emp ID]],Employee[],2,FALSE)</f>
        <v>Jill Pat</v>
      </c>
      <c r="J490" t="str">
        <f>VLOOKUP(Call_Center_Data[[#This Row],[Emp ID]], Employee[], 3, FALSE)</f>
        <v>Aurora, CO</v>
      </c>
      <c r="K490" t="str">
        <f>VLOOKUP(Call_Center_Data[[#This Row],[Emp ID]], Employee[], 4, FALSE)</f>
        <v>Henry Rhodes</v>
      </c>
      <c r="L490" t="str">
        <f>VLOOKUP(Call_Center_Data[[#This Row],[Call Type ID]], Call_Type[], 2, FALSE)</f>
        <v>Sales</v>
      </c>
    </row>
    <row r="491" spans="1:12" x14ac:dyDescent="0.3">
      <c r="A491">
        <v>490</v>
      </c>
      <c r="B491">
        <v>2</v>
      </c>
      <c r="C491" s="1">
        <v>45084</v>
      </c>
      <c r="D491" s="2" t="s">
        <v>81</v>
      </c>
      <c r="E491">
        <v>1</v>
      </c>
      <c r="F491">
        <v>22</v>
      </c>
      <c r="G491">
        <v>165</v>
      </c>
      <c r="H491">
        <v>165</v>
      </c>
      <c r="I491" t="str">
        <f>VLOOKUP(Call_Center_Data[[#This Row],[Emp ID]],Employee[],2,FALSE)</f>
        <v>Sam Simons</v>
      </c>
      <c r="J491" t="str">
        <f>VLOOKUP(Call_Center_Data[[#This Row],[Emp ID]], Employee[], 3, FALSE)</f>
        <v>Jacksonville, WA</v>
      </c>
      <c r="K491" t="str">
        <f>VLOOKUP(Call_Center_Data[[#This Row],[Emp ID]], Employee[], 4, FALSE)</f>
        <v>John Baas</v>
      </c>
      <c r="L491" t="str">
        <f>VLOOKUP(Call_Center_Data[[#This Row],[Call Type ID]], Call_Type[], 2, FALSE)</f>
        <v>Sales</v>
      </c>
    </row>
    <row r="492" spans="1:12" x14ac:dyDescent="0.3">
      <c r="A492">
        <v>491</v>
      </c>
      <c r="B492">
        <v>2</v>
      </c>
      <c r="C492" s="1">
        <v>45085</v>
      </c>
      <c r="D492" s="2" t="s">
        <v>79</v>
      </c>
      <c r="E492">
        <v>0</v>
      </c>
      <c r="F492">
        <v>31</v>
      </c>
      <c r="G492">
        <v>148</v>
      </c>
      <c r="H492">
        <v>276</v>
      </c>
      <c r="I492" t="str">
        <f>VLOOKUP(Call_Center_Data[[#This Row],[Emp ID]],Employee[],2,FALSE)</f>
        <v>Gina Simons</v>
      </c>
      <c r="J492" t="str">
        <f>VLOOKUP(Call_Center_Data[[#This Row],[Emp ID]], Employee[], 3, FALSE)</f>
        <v>Spokane, WA</v>
      </c>
      <c r="K492" t="str">
        <f>VLOOKUP(Call_Center_Data[[#This Row],[Emp ID]], Employee[], 4, FALSE)</f>
        <v>John Rhodes</v>
      </c>
      <c r="L492" t="str">
        <f>VLOOKUP(Call_Center_Data[[#This Row],[Call Type ID]], Call_Type[], 2, FALSE)</f>
        <v>Sales</v>
      </c>
    </row>
    <row r="493" spans="1:12" x14ac:dyDescent="0.3">
      <c r="A493">
        <v>492</v>
      </c>
      <c r="B493">
        <v>2</v>
      </c>
      <c r="C493" s="1">
        <v>45086</v>
      </c>
      <c r="D493" s="2" t="s">
        <v>85</v>
      </c>
      <c r="E493">
        <v>0</v>
      </c>
      <c r="F493">
        <v>26</v>
      </c>
      <c r="G493">
        <v>145</v>
      </c>
      <c r="H493">
        <v>126</v>
      </c>
      <c r="I493" t="str">
        <f>VLOOKUP(Call_Center_Data[[#This Row],[Emp ID]],Employee[],2,FALSE)</f>
        <v>Tina Gilder</v>
      </c>
      <c r="J493" t="str">
        <f>VLOOKUP(Call_Center_Data[[#This Row],[Emp ID]], Employee[], 3, FALSE)</f>
        <v>Spokane, WA</v>
      </c>
      <c r="K493" t="str">
        <f>VLOOKUP(Call_Center_Data[[#This Row],[Emp ID]], Employee[], 4, FALSE)</f>
        <v>Timmy Baas</v>
      </c>
      <c r="L493" t="str">
        <f>VLOOKUP(Call_Center_Data[[#This Row],[Call Type ID]], Call_Type[], 2, FALSE)</f>
        <v>Sales</v>
      </c>
    </row>
    <row r="494" spans="1:12" x14ac:dyDescent="0.3">
      <c r="A494">
        <v>493</v>
      </c>
      <c r="B494">
        <v>3</v>
      </c>
      <c r="C494" s="1">
        <v>45087</v>
      </c>
      <c r="D494" s="2" t="s">
        <v>69</v>
      </c>
      <c r="E494">
        <v>1</v>
      </c>
      <c r="F494">
        <v>43</v>
      </c>
      <c r="G494">
        <v>157</v>
      </c>
      <c r="H494">
        <v>247</v>
      </c>
      <c r="I494" t="str">
        <f>VLOOKUP(Call_Center_Data[[#This Row],[Emp ID]],Employee[],2,FALSE)</f>
        <v>Sam Gilder</v>
      </c>
      <c r="J494" t="str">
        <f>VLOOKUP(Call_Center_Data[[#This Row],[Emp ID]], Employee[], 3, FALSE)</f>
        <v>Jacksonville, WA</v>
      </c>
      <c r="K494" t="str">
        <f>VLOOKUP(Call_Center_Data[[#This Row],[Emp ID]], Employee[], 4, FALSE)</f>
        <v>Timmy Hall</v>
      </c>
      <c r="L494" t="str">
        <f>VLOOKUP(Call_Center_Data[[#This Row],[Call Type ID]], Call_Type[], 2, FALSE)</f>
        <v>Tech Sup</v>
      </c>
    </row>
    <row r="495" spans="1:12" x14ac:dyDescent="0.3">
      <c r="A495">
        <v>494</v>
      </c>
      <c r="B495">
        <v>2</v>
      </c>
      <c r="C495" s="1">
        <v>45088</v>
      </c>
      <c r="D495" s="2" t="s">
        <v>67</v>
      </c>
      <c r="E495">
        <v>0</v>
      </c>
      <c r="F495">
        <v>50</v>
      </c>
      <c r="G495">
        <v>158</v>
      </c>
      <c r="H495">
        <v>312</v>
      </c>
      <c r="I495" t="str">
        <f>VLOOKUP(Call_Center_Data[[#This Row],[Emp ID]],Employee[],2,FALSE)</f>
        <v>Tina Pat</v>
      </c>
      <c r="J495" t="str">
        <f>VLOOKUP(Call_Center_Data[[#This Row],[Emp ID]], Employee[], 3, FALSE)</f>
        <v>Jacksonville, WA</v>
      </c>
      <c r="K495" t="str">
        <f>VLOOKUP(Call_Center_Data[[#This Row],[Emp ID]], Employee[], 4, FALSE)</f>
        <v>John Hall</v>
      </c>
      <c r="L495" t="str">
        <f>VLOOKUP(Call_Center_Data[[#This Row],[Call Type ID]], Call_Type[], 2, FALSE)</f>
        <v>Sales</v>
      </c>
    </row>
    <row r="496" spans="1:12" x14ac:dyDescent="0.3">
      <c r="A496">
        <v>495</v>
      </c>
      <c r="B496">
        <v>3</v>
      </c>
      <c r="C496" s="1">
        <v>45089</v>
      </c>
      <c r="D496" s="2" t="s">
        <v>70</v>
      </c>
      <c r="E496">
        <v>0</v>
      </c>
      <c r="F496">
        <v>32</v>
      </c>
      <c r="G496">
        <v>134</v>
      </c>
      <c r="H496">
        <v>286</v>
      </c>
      <c r="I496" t="str">
        <f>VLOOKUP(Call_Center_Data[[#This Row],[Emp ID]],Employee[],2,FALSE)</f>
        <v>Jill Pat</v>
      </c>
      <c r="J496" t="str">
        <f>VLOOKUP(Call_Center_Data[[#This Row],[Emp ID]], Employee[], 3, FALSE)</f>
        <v>Aurora, CO</v>
      </c>
      <c r="K496" t="str">
        <f>VLOOKUP(Call_Center_Data[[#This Row],[Emp ID]], Employee[], 4, FALSE)</f>
        <v>Henry Rhodes</v>
      </c>
      <c r="L496" t="str">
        <f>VLOOKUP(Call_Center_Data[[#This Row],[Call Type ID]], Call_Type[], 2, FALSE)</f>
        <v>Tech Sup</v>
      </c>
    </row>
    <row r="497" spans="1:12" x14ac:dyDescent="0.3">
      <c r="A497">
        <v>496</v>
      </c>
      <c r="B497">
        <v>2</v>
      </c>
      <c r="C497" s="1">
        <v>45090</v>
      </c>
      <c r="D497" s="2" t="s">
        <v>64</v>
      </c>
      <c r="E497">
        <v>0</v>
      </c>
      <c r="F497">
        <v>36</v>
      </c>
      <c r="G497">
        <v>164</v>
      </c>
      <c r="H497">
        <v>232</v>
      </c>
      <c r="I497" t="str">
        <f>VLOOKUP(Call_Center_Data[[#This Row],[Emp ID]],Employee[],2,FALSE)</f>
        <v>Jill Simons</v>
      </c>
      <c r="J497" t="str">
        <f>VLOOKUP(Call_Center_Data[[#This Row],[Emp ID]], Employee[], 3, FALSE)</f>
        <v>Spokane, WA</v>
      </c>
      <c r="K497" t="str">
        <f>VLOOKUP(Call_Center_Data[[#This Row],[Emp ID]], Employee[], 4, FALSE)</f>
        <v>Jenny Rhodes</v>
      </c>
      <c r="L497" t="str">
        <f>VLOOKUP(Call_Center_Data[[#This Row],[Call Type ID]], Call_Type[], 2, FALSE)</f>
        <v>Sales</v>
      </c>
    </row>
    <row r="498" spans="1:12" x14ac:dyDescent="0.3">
      <c r="A498">
        <v>497</v>
      </c>
      <c r="B498">
        <v>3</v>
      </c>
      <c r="C498" s="1">
        <v>45091</v>
      </c>
      <c r="D498" s="2" t="s">
        <v>70</v>
      </c>
      <c r="E498">
        <v>0</v>
      </c>
      <c r="F498">
        <v>42</v>
      </c>
      <c r="G498">
        <v>148</v>
      </c>
      <c r="H498">
        <v>900</v>
      </c>
      <c r="I498" t="str">
        <f>VLOOKUP(Call_Center_Data[[#This Row],[Emp ID]],Employee[],2,FALSE)</f>
        <v>Jill Pat</v>
      </c>
      <c r="J498" t="str">
        <f>VLOOKUP(Call_Center_Data[[#This Row],[Emp ID]], Employee[], 3, FALSE)</f>
        <v>Aurora, CO</v>
      </c>
      <c r="K498" t="str">
        <f>VLOOKUP(Call_Center_Data[[#This Row],[Emp ID]], Employee[], 4, FALSE)</f>
        <v>Henry Rhodes</v>
      </c>
      <c r="L498" t="str">
        <f>VLOOKUP(Call_Center_Data[[#This Row],[Call Type ID]], Call_Type[], 2, FALSE)</f>
        <v>Tech Sup</v>
      </c>
    </row>
    <row r="499" spans="1:12" x14ac:dyDescent="0.3">
      <c r="A499">
        <v>498</v>
      </c>
      <c r="B499">
        <v>3</v>
      </c>
      <c r="C499" s="1">
        <v>45092</v>
      </c>
      <c r="D499" s="2" t="s">
        <v>85</v>
      </c>
      <c r="E499">
        <v>1</v>
      </c>
      <c r="F499">
        <v>31</v>
      </c>
      <c r="G499">
        <v>158</v>
      </c>
      <c r="H499">
        <v>173</v>
      </c>
      <c r="I499" t="str">
        <f>VLOOKUP(Call_Center_Data[[#This Row],[Emp ID]],Employee[],2,FALSE)</f>
        <v>Tina Gilder</v>
      </c>
      <c r="J499" t="str">
        <f>VLOOKUP(Call_Center_Data[[#This Row],[Emp ID]], Employee[], 3, FALSE)</f>
        <v>Spokane, WA</v>
      </c>
      <c r="K499" t="str">
        <f>VLOOKUP(Call_Center_Data[[#This Row],[Emp ID]], Employee[], 4, FALSE)</f>
        <v>Timmy Baas</v>
      </c>
      <c r="L499" t="str">
        <f>VLOOKUP(Call_Center_Data[[#This Row],[Call Type ID]], Call_Type[], 2, FALSE)</f>
        <v>Tech Sup</v>
      </c>
    </row>
    <row r="500" spans="1:12" x14ac:dyDescent="0.3">
      <c r="A500">
        <v>499</v>
      </c>
      <c r="B500">
        <v>3</v>
      </c>
      <c r="C500" s="1">
        <v>45093</v>
      </c>
      <c r="D500" s="2" t="s">
        <v>72</v>
      </c>
      <c r="E500">
        <v>0</v>
      </c>
      <c r="F500">
        <v>26</v>
      </c>
      <c r="G500">
        <v>147</v>
      </c>
      <c r="H500">
        <v>157</v>
      </c>
      <c r="I500" t="str">
        <f>VLOOKUP(Call_Center_Data[[#This Row],[Emp ID]],Employee[],2,FALSE)</f>
        <v>Ultor Pat</v>
      </c>
      <c r="J500" t="str">
        <f>VLOOKUP(Call_Center_Data[[#This Row],[Emp ID]], Employee[], 3, FALSE)</f>
        <v>Jacksonville, WA</v>
      </c>
      <c r="K500" t="str">
        <f>VLOOKUP(Call_Center_Data[[#This Row],[Emp ID]], Employee[], 4, FALSE)</f>
        <v>Jenny Hall</v>
      </c>
      <c r="L500" t="str">
        <f>VLOOKUP(Call_Center_Data[[#This Row],[Call Type ID]], Call_Type[], 2, FALSE)</f>
        <v>Tech Sup</v>
      </c>
    </row>
    <row r="501" spans="1:12" x14ac:dyDescent="0.3">
      <c r="A501">
        <v>500</v>
      </c>
      <c r="B501">
        <v>2</v>
      </c>
      <c r="C501" s="1">
        <v>45094</v>
      </c>
      <c r="D501" s="2" t="s">
        <v>72</v>
      </c>
      <c r="E501">
        <v>0</v>
      </c>
      <c r="F501">
        <v>24</v>
      </c>
      <c r="G501">
        <v>146</v>
      </c>
      <c r="H501">
        <v>142</v>
      </c>
      <c r="I501" t="str">
        <f>VLOOKUP(Call_Center_Data[[#This Row],[Emp ID]],Employee[],2,FALSE)</f>
        <v>Ultor Pat</v>
      </c>
      <c r="J501" t="str">
        <f>VLOOKUP(Call_Center_Data[[#This Row],[Emp ID]], Employee[], 3, FALSE)</f>
        <v>Jacksonville, WA</v>
      </c>
      <c r="K501" t="str">
        <f>VLOOKUP(Call_Center_Data[[#This Row],[Emp ID]], Employee[], 4, FALSE)</f>
        <v>Jenny Hall</v>
      </c>
      <c r="L501" t="str">
        <f>VLOOKUP(Call_Center_Data[[#This Row],[Call Type ID]], Call_Type[], 2, FALSE)</f>
        <v>Sales</v>
      </c>
    </row>
    <row r="502" spans="1:12" x14ac:dyDescent="0.3">
      <c r="A502">
        <v>501</v>
      </c>
      <c r="B502">
        <v>1</v>
      </c>
      <c r="C502" s="1">
        <v>45095</v>
      </c>
      <c r="D502" s="2" t="s">
        <v>74</v>
      </c>
      <c r="E502">
        <v>1</v>
      </c>
      <c r="F502">
        <v>31</v>
      </c>
      <c r="G502">
        <v>158</v>
      </c>
      <c r="H502">
        <v>276</v>
      </c>
      <c r="I502" t="str">
        <f>VLOOKUP(Call_Center_Data[[#This Row],[Emp ID]],Employee[],2,FALSE)</f>
        <v>Gina John</v>
      </c>
      <c r="J502" t="str">
        <f>VLOOKUP(Call_Center_Data[[#This Row],[Emp ID]], Employee[], 3, FALSE)</f>
        <v>Jacksonville, WA</v>
      </c>
      <c r="K502" t="str">
        <f>VLOOKUP(Call_Center_Data[[#This Row],[Emp ID]], Employee[], 4, FALSE)</f>
        <v>Henry Gill</v>
      </c>
      <c r="L502" t="str">
        <f>VLOOKUP(Call_Center_Data[[#This Row],[Call Type ID]], Call_Type[], 2, FALSE)</f>
        <v>Billing</v>
      </c>
    </row>
    <row r="503" spans="1:12" x14ac:dyDescent="0.3">
      <c r="A503">
        <v>502</v>
      </c>
      <c r="B503">
        <v>2</v>
      </c>
      <c r="C503" s="1">
        <v>45096</v>
      </c>
      <c r="D503" s="2" t="s">
        <v>78</v>
      </c>
      <c r="E503">
        <v>1</v>
      </c>
      <c r="F503">
        <v>48</v>
      </c>
      <c r="G503">
        <v>174</v>
      </c>
      <c r="H503">
        <v>284</v>
      </c>
      <c r="I503" t="str">
        <f>VLOOKUP(Call_Center_Data[[#This Row],[Emp ID]],Employee[],2,FALSE)</f>
        <v>Jill Saab</v>
      </c>
      <c r="J503" t="str">
        <f>VLOOKUP(Call_Center_Data[[#This Row],[Emp ID]], Employee[], 3, FALSE)</f>
        <v>Spokane, WA</v>
      </c>
      <c r="K503" t="str">
        <f>VLOOKUP(Call_Center_Data[[#This Row],[Emp ID]], Employee[], 4, FALSE)</f>
        <v>Timmy Gill</v>
      </c>
      <c r="L503" t="str">
        <f>VLOOKUP(Call_Center_Data[[#This Row],[Call Type ID]], Call_Type[], 2, FALSE)</f>
        <v>Sales</v>
      </c>
    </row>
    <row r="504" spans="1:12" x14ac:dyDescent="0.3">
      <c r="A504">
        <v>503</v>
      </c>
      <c r="B504">
        <v>3</v>
      </c>
      <c r="C504" s="1">
        <v>45097</v>
      </c>
      <c r="D504" s="2" t="s">
        <v>85</v>
      </c>
      <c r="E504">
        <v>1</v>
      </c>
      <c r="F504">
        <v>35</v>
      </c>
      <c r="G504">
        <v>179</v>
      </c>
      <c r="H504">
        <v>162</v>
      </c>
      <c r="I504" t="str">
        <f>VLOOKUP(Call_Center_Data[[#This Row],[Emp ID]],Employee[],2,FALSE)</f>
        <v>Tina Gilder</v>
      </c>
      <c r="J504" t="str">
        <f>VLOOKUP(Call_Center_Data[[#This Row],[Emp ID]], Employee[], 3, FALSE)</f>
        <v>Spokane, WA</v>
      </c>
      <c r="K504" t="str">
        <f>VLOOKUP(Call_Center_Data[[#This Row],[Emp ID]], Employee[], 4, FALSE)</f>
        <v>Timmy Baas</v>
      </c>
      <c r="L504" t="str">
        <f>VLOOKUP(Call_Center_Data[[#This Row],[Call Type ID]], Call_Type[], 2, FALSE)</f>
        <v>Tech Sup</v>
      </c>
    </row>
    <row r="505" spans="1:12" x14ac:dyDescent="0.3">
      <c r="A505">
        <v>504</v>
      </c>
      <c r="B505">
        <v>3</v>
      </c>
      <c r="C505" s="1">
        <v>45098</v>
      </c>
      <c r="D505" s="2" t="s">
        <v>83</v>
      </c>
      <c r="E505">
        <v>0</v>
      </c>
      <c r="F505">
        <v>27</v>
      </c>
      <c r="G505">
        <v>143</v>
      </c>
      <c r="H505">
        <v>305</v>
      </c>
      <c r="I505" t="str">
        <f>VLOOKUP(Call_Center_Data[[#This Row],[Emp ID]],Employee[],2,FALSE)</f>
        <v>Ultor Simons</v>
      </c>
      <c r="J505" t="str">
        <f>VLOOKUP(Call_Center_Data[[#This Row],[Emp ID]], Employee[], 3, FALSE)</f>
        <v>Jacksonville, WA</v>
      </c>
      <c r="K505" t="str">
        <f>VLOOKUP(Call_Center_Data[[#This Row],[Emp ID]], Employee[], 4, FALSE)</f>
        <v>Pierce Hall</v>
      </c>
      <c r="L505" t="str">
        <f>VLOOKUP(Call_Center_Data[[#This Row],[Call Type ID]], Call_Type[], 2, FALSE)</f>
        <v>Tech Sup</v>
      </c>
    </row>
    <row r="506" spans="1:12" x14ac:dyDescent="0.3">
      <c r="A506">
        <v>505</v>
      </c>
      <c r="B506">
        <v>2</v>
      </c>
      <c r="C506" s="1">
        <v>45099</v>
      </c>
      <c r="D506" s="2" t="s">
        <v>77</v>
      </c>
      <c r="E506">
        <v>1</v>
      </c>
      <c r="F506">
        <v>57</v>
      </c>
      <c r="G506">
        <v>145</v>
      </c>
      <c r="H506">
        <v>331</v>
      </c>
      <c r="I506" t="str">
        <f>VLOOKUP(Call_Center_Data[[#This Row],[Emp ID]],Employee[],2,FALSE)</f>
        <v>Sam Saab</v>
      </c>
      <c r="J506" t="str">
        <f>VLOOKUP(Call_Center_Data[[#This Row],[Emp ID]], Employee[], 3, FALSE)</f>
        <v>Aurora, CO</v>
      </c>
      <c r="K506" t="str">
        <f>VLOOKUP(Call_Center_Data[[#This Row],[Emp ID]], Employee[], 4, FALSE)</f>
        <v>Timmy Mack</v>
      </c>
      <c r="L506" t="str">
        <f>VLOOKUP(Call_Center_Data[[#This Row],[Call Type ID]], Call_Type[], 2, FALSE)</f>
        <v>Sales</v>
      </c>
    </row>
    <row r="507" spans="1:12" x14ac:dyDescent="0.3">
      <c r="A507">
        <v>506</v>
      </c>
      <c r="B507">
        <v>1</v>
      </c>
      <c r="C507" s="1">
        <v>45100</v>
      </c>
      <c r="D507" s="2" t="s">
        <v>69</v>
      </c>
      <c r="E507">
        <v>1</v>
      </c>
      <c r="F507">
        <v>44</v>
      </c>
      <c r="G507">
        <v>161</v>
      </c>
      <c r="H507">
        <v>360</v>
      </c>
      <c r="I507" t="str">
        <f>VLOOKUP(Call_Center_Data[[#This Row],[Emp ID]],Employee[],2,FALSE)</f>
        <v>Sam Gilder</v>
      </c>
      <c r="J507" t="str">
        <f>VLOOKUP(Call_Center_Data[[#This Row],[Emp ID]], Employee[], 3, FALSE)</f>
        <v>Jacksonville, WA</v>
      </c>
      <c r="K507" t="str">
        <f>VLOOKUP(Call_Center_Data[[#This Row],[Emp ID]], Employee[], 4, FALSE)</f>
        <v>Timmy Hall</v>
      </c>
      <c r="L507" t="str">
        <f>VLOOKUP(Call_Center_Data[[#This Row],[Call Type ID]], Call_Type[], 2, FALSE)</f>
        <v>Billing</v>
      </c>
    </row>
    <row r="508" spans="1:12" x14ac:dyDescent="0.3">
      <c r="A508">
        <v>507</v>
      </c>
      <c r="B508">
        <v>2</v>
      </c>
      <c r="C508" s="1">
        <v>45101</v>
      </c>
      <c r="D508" s="2" t="s">
        <v>79</v>
      </c>
      <c r="E508">
        <v>0</v>
      </c>
      <c r="F508">
        <v>18</v>
      </c>
      <c r="G508">
        <v>162</v>
      </c>
      <c r="H508">
        <v>143</v>
      </c>
      <c r="I508" t="str">
        <f>VLOOKUP(Call_Center_Data[[#This Row],[Emp ID]],Employee[],2,FALSE)</f>
        <v>Gina Simons</v>
      </c>
      <c r="J508" t="str">
        <f>VLOOKUP(Call_Center_Data[[#This Row],[Emp ID]], Employee[], 3, FALSE)</f>
        <v>Spokane, WA</v>
      </c>
      <c r="K508" t="str">
        <f>VLOOKUP(Call_Center_Data[[#This Row],[Emp ID]], Employee[], 4, FALSE)</f>
        <v>John Rhodes</v>
      </c>
      <c r="L508" t="str">
        <f>VLOOKUP(Call_Center_Data[[#This Row],[Call Type ID]], Call_Type[], 2, FALSE)</f>
        <v>Sales</v>
      </c>
    </row>
    <row r="509" spans="1:12" x14ac:dyDescent="0.3">
      <c r="A509">
        <v>508</v>
      </c>
      <c r="B509">
        <v>1</v>
      </c>
      <c r="C509" s="1">
        <v>45102</v>
      </c>
      <c r="D509" s="2" t="s">
        <v>84</v>
      </c>
      <c r="E509">
        <v>0</v>
      </c>
      <c r="F509">
        <v>20</v>
      </c>
      <c r="G509">
        <v>147</v>
      </c>
      <c r="H509">
        <v>90</v>
      </c>
      <c r="I509" t="str">
        <f>VLOOKUP(Call_Center_Data[[#This Row],[Emp ID]],Employee[],2,FALSE)</f>
        <v>Sam John</v>
      </c>
      <c r="J509" t="str">
        <f>VLOOKUP(Call_Center_Data[[#This Row],[Emp ID]], Employee[], 3, FALSE)</f>
        <v>Aurora, CO</v>
      </c>
      <c r="K509" t="str">
        <f>VLOOKUP(Call_Center_Data[[#This Row],[Emp ID]], Employee[], 4, FALSE)</f>
        <v>Jenny Mack</v>
      </c>
      <c r="L509" t="str">
        <f>VLOOKUP(Call_Center_Data[[#This Row],[Call Type ID]], Call_Type[], 2, FALSE)</f>
        <v>Billing</v>
      </c>
    </row>
    <row r="510" spans="1:12" x14ac:dyDescent="0.3">
      <c r="A510">
        <v>509</v>
      </c>
      <c r="B510">
        <v>2</v>
      </c>
      <c r="C510" s="1">
        <v>45103</v>
      </c>
      <c r="D510" s="2" t="s">
        <v>84</v>
      </c>
      <c r="E510">
        <v>1</v>
      </c>
      <c r="F510">
        <v>23</v>
      </c>
      <c r="G510">
        <v>120</v>
      </c>
      <c r="H510">
        <v>113</v>
      </c>
      <c r="I510" t="str">
        <f>VLOOKUP(Call_Center_Data[[#This Row],[Emp ID]],Employee[],2,FALSE)</f>
        <v>Sam John</v>
      </c>
      <c r="J510" t="str">
        <f>VLOOKUP(Call_Center_Data[[#This Row],[Emp ID]], Employee[], 3, FALSE)</f>
        <v>Aurora, CO</v>
      </c>
      <c r="K510" t="str">
        <f>VLOOKUP(Call_Center_Data[[#This Row],[Emp ID]], Employee[], 4, FALSE)</f>
        <v>Jenny Mack</v>
      </c>
      <c r="L510" t="str">
        <f>VLOOKUP(Call_Center_Data[[#This Row],[Call Type ID]], Call_Type[], 2, FALSE)</f>
        <v>Sales</v>
      </c>
    </row>
    <row r="511" spans="1:12" x14ac:dyDescent="0.3">
      <c r="A511">
        <v>510</v>
      </c>
      <c r="B511">
        <v>1</v>
      </c>
      <c r="C511" s="1">
        <v>45104</v>
      </c>
      <c r="D511" s="2" t="s">
        <v>82</v>
      </c>
      <c r="E511">
        <v>0</v>
      </c>
      <c r="F511">
        <v>21</v>
      </c>
      <c r="G511">
        <v>151</v>
      </c>
      <c r="H511">
        <v>214</v>
      </c>
      <c r="I511" t="str">
        <f>VLOOKUP(Call_Center_Data[[#This Row],[Emp ID]],Employee[],2,FALSE)</f>
        <v>Ultor Gilder</v>
      </c>
      <c r="J511" t="str">
        <f>VLOOKUP(Call_Center_Data[[#This Row],[Emp ID]], Employee[], 3, FALSE)</f>
        <v>Aurora, CO</v>
      </c>
      <c r="K511" t="str">
        <f>VLOOKUP(Call_Center_Data[[#This Row],[Emp ID]], Employee[], 4, FALSE)</f>
        <v>Pierce Mack</v>
      </c>
      <c r="L511" t="str">
        <f>VLOOKUP(Call_Center_Data[[#This Row],[Call Type ID]], Call_Type[], 2, FALSE)</f>
        <v>Billing</v>
      </c>
    </row>
    <row r="512" spans="1:12" x14ac:dyDescent="0.3">
      <c r="A512">
        <v>511</v>
      </c>
      <c r="B512">
        <v>1</v>
      </c>
      <c r="C512" s="1">
        <v>45105</v>
      </c>
      <c r="D512" s="2" t="s">
        <v>84</v>
      </c>
      <c r="E512">
        <v>1</v>
      </c>
      <c r="F512">
        <v>17</v>
      </c>
      <c r="G512">
        <v>149</v>
      </c>
      <c r="H512">
        <v>141</v>
      </c>
      <c r="I512" t="str">
        <f>VLOOKUP(Call_Center_Data[[#This Row],[Emp ID]],Employee[],2,FALSE)</f>
        <v>Sam John</v>
      </c>
      <c r="J512" t="str">
        <f>VLOOKUP(Call_Center_Data[[#This Row],[Emp ID]], Employee[], 3, FALSE)</f>
        <v>Aurora, CO</v>
      </c>
      <c r="K512" t="str">
        <f>VLOOKUP(Call_Center_Data[[#This Row],[Emp ID]], Employee[], 4, FALSE)</f>
        <v>Jenny Mack</v>
      </c>
      <c r="L512" t="str">
        <f>VLOOKUP(Call_Center_Data[[#This Row],[Call Type ID]], Call_Type[], 2, FALSE)</f>
        <v>Billing</v>
      </c>
    </row>
    <row r="513" spans="1:12" x14ac:dyDescent="0.3">
      <c r="A513">
        <v>512</v>
      </c>
      <c r="B513">
        <v>1</v>
      </c>
      <c r="C513" s="1">
        <v>45106</v>
      </c>
      <c r="D513" s="2" t="s">
        <v>68</v>
      </c>
      <c r="E513">
        <v>1</v>
      </c>
      <c r="F513">
        <v>41</v>
      </c>
      <c r="G513">
        <v>131</v>
      </c>
      <c r="H513">
        <v>346</v>
      </c>
      <c r="I513" t="str">
        <f>VLOOKUP(Call_Center_Data[[#This Row],[Emp ID]],Employee[],2,FALSE)</f>
        <v>Tina Saab</v>
      </c>
      <c r="J513" t="str">
        <f>VLOOKUP(Call_Center_Data[[#This Row],[Emp ID]], Employee[], 3, FALSE)</f>
        <v>Spokane, WA</v>
      </c>
      <c r="K513" t="str">
        <f>VLOOKUP(Call_Center_Data[[#This Row],[Emp ID]], Employee[], 4, FALSE)</f>
        <v>Henry Baas</v>
      </c>
      <c r="L513" t="str">
        <f>VLOOKUP(Call_Center_Data[[#This Row],[Call Type ID]], Call_Type[], 2, FALSE)</f>
        <v>Billing</v>
      </c>
    </row>
    <row r="514" spans="1:12" x14ac:dyDescent="0.3">
      <c r="A514">
        <v>513</v>
      </c>
      <c r="B514">
        <v>3</v>
      </c>
      <c r="C514" s="1">
        <v>45107</v>
      </c>
      <c r="D514" s="2" t="s">
        <v>72</v>
      </c>
      <c r="E514">
        <v>1</v>
      </c>
      <c r="F514">
        <v>22</v>
      </c>
      <c r="G514">
        <v>150</v>
      </c>
      <c r="H514">
        <v>132</v>
      </c>
      <c r="I514" t="str">
        <f>VLOOKUP(Call_Center_Data[[#This Row],[Emp ID]],Employee[],2,FALSE)</f>
        <v>Ultor Pat</v>
      </c>
      <c r="J514" t="str">
        <f>VLOOKUP(Call_Center_Data[[#This Row],[Emp ID]], Employee[], 3, FALSE)</f>
        <v>Jacksonville, WA</v>
      </c>
      <c r="K514" t="str">
        <f>VLOOKUP(Call_Center_Data[[#This Row],[Emp ID]], Employee[], 4, FALSE)</f>
        <v>Jenny Hall</v>
      </c>
      <c r="L514" t="str">
        <f>VLOOKUP(Call_Center_Data[[#This Row],[Call Type ID]], Call_Type[], 2, FALSE)</f>
        <v>Tech Sup</v>
      </c>
    </row>
    <row r="515" spans="1:12" x14ac:dyDescent="0.3">
      <c r="A515">
        <v>514</v>
      </c>
      <c r="B515">
        <v>3</v>
      </c>
      <c r="C515" s="1">
        <v>45108</v>
      </c>
      <c r="D515" s="2" t="s">
        <v>69</v>
      </c>
      <c r="E515">
        <v>1</v>
      </c>
      <c r="F515">
        <v>30</v>
      </c>
      <c r="G515">
        <v>147</v>
      </c>
      <c r="H515">
        <v>275</v>
      </c>
      <c r="I515" t="str">
        <f>VLOOKUP(Call_Center_Data[[#This Row],[Emp ID]],Employee[],2,FALSE)</f>
        <v>Sam Gilder</v>
      </c>
      <c r="J515" t="str">
        <f>VLOOKUP(Call_Center_Data[[#This Row],[Emp ID]], Employee[], 3, FALSE)</f>
        <v>Jacksonville, WA</v>
      </c>
      <c r="K515" t="str">
        <f>VLOOKUP(Call_Center_Data[[#This Row],[Emp ID]], Employee[], 4, FALSE)</f>
        <v>Timmy Hall</v>
      </c>
      <c r="L515" t="str">
        <f>VLOOKUP(Call_Center_Data[[#This Row],[Call Type ID]], Call_Type[], 2, FALSE)</f>
        <v>Tech Sup</v>
      </c>
    </row>
    <row r="516" spans="1:12" x14ac:dyDescent="0.3">
      <c r="A516">
        <v>515</v>
      </c>
      <c r="B516">
        <v>2</v>
      </c>
      <c r="C516" s="1">
        <v>45109</v>
      </c>
      <c r="D516" s="2" t="s">
        <v>66</v>
      </c>
      <c r="E516">
        <v>1</v>
      </c>
      <c r="F516">
        <v>44</v>
      </c>
      <c r="G516">
        <v>166</v>
      </c>
      <c r="H516">
        <v>275</v>
      </c>
      <c r="I516" t="str">
        <f>VLOOKUP(Call_Center_Data[[#This Row],[Emp ID]],Employee[],2,FALSE)</f>
        <v>Tina John</v>
      </c>
      <c r="J516" t="str">
        <f>VLOOKUP(Call_Center_Data[[#This Row],[Emp ID]], Employee[], 3, FALSE)</f>
        <v>Aurora, CO</v>
      </c>
      <c r="K516" t="str">
        <f>VLOOKUP(Call_Center_Data[[#This Row],[Emp ID]], Employee[], 4, FALSE)</f>
        <v>Timmy Rhodes</v>
      </c>
      <c r="L516" t="str">
        <f>VLOOKUP(Call_Center_Data[[#This Row],[Call Type ID]], Call_Type[], 2, FALSE)</f>
        <v>Sales</v>
      </c>
    </row>
    <row r="517" spans="1:12" x14ac:dyDescent="0.3">
      <c r="A517">
        <v>516</v>
      </c>
      <c r="B517">
        <v>1</v>
      </c>
      <c r="C517" s="1">
        <v>45110</v>
      </c>
      <c r="D517" s="2" t="s">
        <v>76</v>
      </c>
      <c r="E517">
        <v>1</v>
      </c>
      <c r="F517">
        <v>39</v>
      </c>
      <c r="G517">
        <v>176</v>
      </c>
      <c r="H517">
        <v>174</v>
      </c>
      <c r="I517" t="str">
        <f>VLOOKUP(Call_Center_Data[[#This Row],[Emp ID]],Employee[],2,FALSE)</f>
        <v>Ultor Saab</v>
      </c>
      <c r="J517" t="str">
        <f>VLOOKUP(Call_Center_Data[[#This Row],[Emp ID]], Employee[], 3, FALSE)</f>
        <v>Aurora, CO</v>
      </c>
      <c r="K517" t="str">
        <f>VLOOKUP(Call_Center_Data[[#This Row],[Emp ID]], Employee[], 4, FALSE)</f>
        <v>Pierce Baas</v>
      </c>
      <c r="L517" t="str">
        <f>VLOOKUP(Call_Center_Data[[#This Row],[Call Type ID]], Call_Type[], 2, FALSE)</f>
        <v>Billing</v>
      </c>
    </row>
    <row r="518" spans="1:12" x14ac:dyDescent="0.3">
      <c r="A518">
        <v>517</v>
      </c>
      <c r="B518">
        <v>2</v>
      </c>
      <c r="C518" s="1">
        <v>45111</v>
      </c>
      <c r="D518" s="2" t="s">
        <v>75</v>
      </c>
      <c r="E518">
        <v>1</v>
      </c>
      <c r="F518">
        <v>26</v>
      </c>
      <c r="G518">
        <v>169</v>
      </c>
      <c r="H518">
        <v>166</v>
      </c>
      <c r="I518" t="str">
        <f>VLOOKUP(Call_Center_Data[[#This Row],[Emp ID]],Employee[],2,FALSE)</f>
        <v>Gina Pat</v>
      </c>
      <c r="J518" t="str">
        <f>VLOOKUP(Call_Center_Data[[#This Row],[Emp ID]], Employee[], 3, FALSE)</f>
        <v>Spokane, WA</v>
      </c>
      <c r="K518" t="str">
        <f>VLOOKUP(Call_Center_Data[[#This Row],[Emp ID]], Employee[], 4, FALSE)</f>
        <v>Henry Hall</v>
      </c>
      <c r="L518" t="str">
        <f>VLOOKUP(Call_Center_Data[[#This Row],[Call Type ID]], Call_Type[], 2, FALSE)</f>
        <v>Sales</v>
      </c>
    </row>
    <row r="519" spans="1:12" x14ac:dyDescent="0.3">
      <c r="A519">
        <v>518</v>
      </c>
      <c r="B519">
        <v>2</v>
      </c>
      <c r="C519" s="1">
        <v>45112</v>
      </c>
      <c r="D519" s="2" t="s">
        <v>79</v>
      </c>
      <c r="E519">
        <v>0</v>
      </c>
      <c r="F519">
        <v>23</v>
      </c>
      <c r="G519">
        <v>151</v>
      </c>
      <c r="H519">
        <v>181</v>
      </c>
      <c r="I519" t="str">
        <f>VLOOKUP(Call_Center_Data[[#This Row],[Emp ID]],Employee[],2,FALSE)</f>
        <v>Gina Simons</v>
      </c>
      <c r="J519" t="str">
        <f>VLOOKUP(Call_Center_Data[[#This Row],[Emp ID]], Employee[], 3, FALSE)</f>
        <v>Spokane, WA</v>
      </c>
      <c r="K519" t="str">
        <f>VLOOKUP(Call_Center_Data[[#This Row],[Emp ID]], Employee[], 4, FALSE)</f>
        <v>John Rhodes</v>
      </c>
      <c r="L519" t="str">
        <f>VLOOKUP(Call_Center_Data[[#This Row],[Call Type ID]], Call_Type[], 2, FALSE)</f>
        <v>Sales</v>
      </c>
    </row>
    <row r="520" spans="1:12" x14ac:dyDescent="0.3">
      <c r="A520">
        <v>519</v>
      </c>
      <c r="B520">
        <v>3</v>
      </c>
      <c r="C520" s="1">
        <v>45113</v>
      </c>
      <c r="D520" s="2" t="s">
        <v>84</v>
      </c>
      <c r="E520">
        <v>0</v>
      </c>
      <c r="F520">
        <v>25</v>
      </c>
      <c r="G520">
        <v>156</v>
      </c>
      <c r="H520">
        <v>143</v>
      </c>
      <c r="I520" t="str">
        <f>VLOOKUP(Call_Center_Data[[#This Row],[Emp ID]],Employee[],2,FALSE)</f>
        <v>Sam John</v>
      </c>
      <c r="J520" t="str">
        <f>VLOOKUP(Call_Center_Data[[#This Row],[Emp ID]], Employee[], 3, FALSE)</f>
        <v>Aurora, CO</v>
      </c>
      <c r="K520" t="str">
        <f>VLOOKUP(Call_Center_Data[[#This Row],[Emp ID]], Employee[], 4, FALSE)</f>
        <v>Jenny Mack</v>
      </c>
      <c r="L520" t="str">
        <f>VLOOKUP(Call_Center_Data[[#This Row],[Call Type ID]], Call_Type[], 2, FALSE)</f>
        <v>Tech Sup</v>
      </c>
    </row>
    <row r="521" spans="1:12" x14ac:dyDescent="0.3">
      <c r="A521">
        <v>520</v>
      </c>
      <c r="B521">
        <v>3</v>
      </c>
      <c r="C521" s="1">
        <v>45114</v>
      </c>
      <c r="D521" s="2" t="s">
        <v>82</v>
      </c>
      <c r="E521">
        <v>1</v>
      </c>
      <c r="F521">
        <v>37</v>
      </c>
      <c r="G521">
        <v>106</v>
      </c>
      <c r="H521">
        <v>243</v>
      </c>
      <c r="I521" t="str">
        <f>VLOOKUP(Call_Center_Data[[#This Row],[Emp ID]],Employee[],2,FALSE)</f>
        <v>Ultor Gilder</v>
      </c>
      <c r="J521" t="str">
        <f>VLOOKUP(Call_Center_Data[[#This Row],[Emp ID]], Employee[], 3, FALSE)</f>
        <v>Aurora, CO</v>
      </c>
      <c r="K521" t="str">
        <f>VLOOKUP(Call_Center_Data[[#This Row],[Emp ID]], Employee[], 4, FALSE)</f>
        <v>Pierce Mack</v>
      </c>
      <c r="L521" t="str">
        <f>VLOOKUP(Call_Center_Data[[#This Row],[Call Type ID]], Call_Type[], 2, FALSE)</f>
        <v>Tech Sup</v>
      </c>
    </row>
    <row r="522" spans="1:12" x14ac:dyDescent="0.3">
      <c r="A522">
        <v>521</v>
      </c>
      <c r="B522">
        <v>1</v>
      </c>
      <c r="C522" s="1">
        <v>45115</v>
      </c>
      <c r="D522" s="2" t="s">
        <v>74</v>
      </c>
      <c r="E522">
        <v>0</v>
      </c>
      <c r="F522">
        <v>27</v>
      </c>
      <c r="G522">
        <v>157</v>
      </c>
      <c r="H522">
        <v>152</v>
      </c>
      <c r="I522" t="str">
        <f>VLOOKUP(Call_Center_Data[[#This Row],[Emp ID]],Employee[],2,FALSE)</f>
        <v>Gina John</v>
      </c>
      <c r="J522" t="str">
        <f>VLOOKUP(Call_Center_Data[[#This Row],[Emp ID]], Employee[], 3, FALSE)</f>
        <v>Jacksonville, WA</v>
      </c>
      <c r="K522" t="str">
        <f>VLOOKUP(Call_Center_Data[[#This Row],[Emp ID]], Employee[], 4, FALSE)</f>
        <v>Henry Gill</v>
      </c>
      <c r="L522" t="str">
        <f>VLOOKUP(Call_Center_Data[[#This Row],[Call Type ID]], Call_Type[], 2, FALSE)</f>
        <v>Billing</v>
      </c>
    </row>
    <row r="523" spans="1:12" x14ac:dyDescent="0.3">
      <c r="A523">
        <v>522</v>
      </c>
      <c r="B523">
        <v>1</v>
      </c>
      <c r="C523" s="1">
        <v>45116</v>
      </c>
      <c r="D523" s="2" t="s">
        <v>70</v>
      </c>
      <c r="E523">
        <v>0</v>
      </c>
      <c r="F523">
        <v>28</v>
      </c>
      <c r="G523">
        <v>131</v>
      </c>
      <c r="H523">
        <v>196</v>
      </c>
      <c r="I523" t="str">
        <f>VLOOKUP(Call_Center_Data[[#This Row],[Emp ID]],Employee[],2,FALSE)</f>
        <v>Jill Pat</v>
      </c>
      <c r="J523" t="str">
        <f>VLOOKUP(Call_Center_Data[[#This Row],[Emp ID]], Employee[], 3, FALSE)</f>
        <v>Aurora, CO</v>
      </c>
      <c r="K523" t="str">
        <f>VLOOKUP(Call_Center_Data[[#This Row],[Emp ID]], Employee[], 4, FALSE)</f>
        <v>Henry Rhodes</v>
      </c>
      <c r="L523" t="str">
        <f>VLOOKUP(Call_Center_Data[[#This Row],[Call Type ID]], Call_Type[], 2, FALSE)</f>
        <v>Billing</v>
      </c>
    </row>
    <row r="524" spans="1:12" x14ac:dyDescent="0.3">
      <c r="A524">
        <v>523</v>
      </c>
      <c r="B524">
        <v>2</v>
      </c>
      <c r="C524" s="1">
        <v>45117</v>
      </c>
      <c r="D524" s="2" t="s">
        <v>68</v>
      </c>
      <c r="E524">
        <v>1</v>
      </c>
      <c r="F524">
        <v>42</v>
      </c>
      <c r="G524">
        <v>167</v>
      </c>
      <c r="H524">
        <v>220</v>
      </c>
      <c r="I524" t="str">
        <f>VLOOKUP(Call_Center_Data[[#This Row],[Emp ID]],Employee[],2,FALSE)</f>
        <v>Tina Saab</v>
      </c>
      <c r="J524" t="str">
        <f>VLOOKUP(Call_Center_Data[[#This Row],[Emp ID]], Employee[], 3, FALSE)</f>
        <v>Spokane, WA</v>
      </c>
      <c r="K524" t="str">
        <f>VLOOKUP(Call_Center_Data[[#This Row],[Emp ID]], Employee[], 4, FALSE)</f>
        <v>Henry Baas</v>
      </c>
      <c r="L524" t="str">
        <f>VLOOKUP(Call_Center_Data[[#This Row],[Call Type ID]], Call_Type[], 2, FALSE)</f>
        <v>Sales</v>
      </c>
    </row>
    <row r="525" spans="1:12" x14ac:dyDescent="0.3">
      <c r="A525">
        <v>524</v>
      </c>
      <c r="B525">
        <v>3</v>
      </c>
      <c r="C525" s="1">
        <v>45118</v>
      </c>
      <c r="D525" s="2" t="s">
        <v>73</v>
      </c>
      <c r="E525">
        <v>0</v>
      </c>
      <c r="F525">
        <v>34</v>
      </c>
      <c r="G525">
        <v>159</v>
      </c>
      <c r="H525">
        <v>201</v>
      </c>
      <c r="I525" t="str">
        <f>VLOOKUP(Call_Center_Data[[#This Row],[Emp ID]],Employee[],2,FALSE)</f>
        <v>Jill John</v>
      </c>
      <c r="J525" t="str">
        <f>VLOOKUP(Call_Center_Data[[#This Row],[Emp ID]], Employee[], 3, FALSE)</f>
        <v>Spokane, WA</v>
      </c>
      <c r="K525" t="str">
        <f>VLOOKUP(Call_Center_Data[[#This Row],[Emp ID]], Employee[], 4, FALSE)</f>
        <v>John Gill</v>
      </c>
      <c r="L525" t="str">
        <f>VLOOKUP(Call_Center_Data[[#This Row],[Call Type ID]], Call_Type[], 2, FALSE)</f>
        <v>Tech Sup</v>
      </c>
    </row>
    <row r="526" spans="1:12" x14ac:dyDescent="0.3">
      <c r="A526">
        <v>525</v>
      </c>
      <c r="B526">
        <v>1</v>
      </c>
      <c r="C526" s="1">
        <v>45119</v>
      </c>
      <c r="D526" s="2" t="s">
        <v>74</v>
      </c>
      <c r="E526">
        <v>1</v>
      </c>
      <c r="F526">
        <v>33</v>
      </c>
      <c r="G526">
        <v>153</v>
      </c>
      <c r="H526">
        <v>128</v>
      </c>
      <c r="I526" t="str">
        <f>VLOOKUP(Call_Center_Data[[#This Row],[Emp ID]],Employee[],2,FALSE)</f>
        <v>Gina John</v>
      </c>
      <c r="J526" t="str">
        <f>VLOOKUP(Call_Center_Data[[#This Row],[Emp ID]], Employee[], 3, FALSE)</f>
        <v>Jacksonville, WA</v>
      </c>
      <c r="K526" t="str">
        <f>VLOOKUP(Call_Center_Data[[#This Row],[Emp ID]], Employee[], 4, FALSE)</f>
        <v>Henry Gill</v>
      </c>
      <c r="L526" t="str">
        <f>VLOOKUP(Call_Center_Data[[#This Row],[Call Type ID]], Call_Type[], 2, FALSE)</f>
        <v>Billing</v>
      </c>
    </row>
    <row r="527" spans="1:12" x14ac:dyDescent="0.3">
      <c r="A527">
        <v>526</v>
      </c>
      <c r="B527">
        <v>2</v>
      </c>
      <c r="C527" s="1">
        <v>45120</v>
      </c>
      <c r="D527" s="2" t="s">
        <v>82</v>
      </c>
      <c r="E527">
        <v>0</v>
      </c>
      <c r="F527">
        <v>47</v>
      </c>
      <c r="G527">
        <v>164</v>
      </c>
      <c r="H527">
        <v>330</v>
      </c>
      <c r="I527" t="str">
        <f>VLOOKUP(Call_Center_Data[[#This Row],[Emp ID]],Employee[],2,FALSE)</f>
        <v>Ultor Gilder</v>
      </c>
      <c r="J527" t="str">
        <f>VLOOKUP(Call_Center_Data[[#This Row],[Emp ID]], Employee[], 3, FALSE)</f>
        <v>Aurora, CO</v>
      </c>
      <c r="K527" t="str">
        <f>VLOOKUP(Call_Center_Data[[#This Row],[Emp ID]], Employee[], 4, FALSE)</f>
        <v>Pierce Mack</v>
      </c>
      <c r="L527" t="str">
        <f>VLOOKUP(Call_Center_Data[[#This Row],[Call Type ID]], Call_Type[], 2, FALSE)</f>
        <v>Sales</v>
      </c>
    </row>
    <row r="528" spans="1:12" x14ac:dyDescent="0.3">
      <c r="A528">
        <v>527</v>
      </c>
      <c r="B528">
        <v>2</v>
      </c>
      <c r="C528" s="1">
        <v>45121</v>
      </c>
      <c r="D528" s="2" t="s">
        <v>67</v>
      </c>
      <c r="E528">
        <v>1</v>
      </c>
      <c r="F528">
        <v>44</v>
      </c>
      <c r="G528">
        <v>165</v>
      </c>
      <c r="H528">
        <v>318</v>
      </c>
      <c r="I528" t="str">
        <f>VLOOKUP(Call_Center_Data[[#This Row],[Emp ID]],Employee[],2,FALSE)</f>
        <v>Tina Pat</v>
      </c>
      <c r="J528" t="str">
        <f>VLOOKUP(Call_Center_Data[[#This Row],[Emp ID]], Employee[], 3, FALSE)</f>
        <v>Jacksonville, WA</v>
      </c>
      <c r="K528" t="str">
        <f>VLOOKUP(Call_Center_Data[[#This Row],[Emp ID]], Employee[], 4, FALSE)</f>
        <v>John Hall</v>
      </c>
      <c r="L528" t="str">
        <f>VLOOKUP(Call_Center_Data[[#This Row],[Call Type ID]], Call_Type[], 2, FALSE)</f>
        <v>Sales</v>
      </c>
    </row>
    <row r="529" spans="1:12" x14ac:dyDescent="0.3">
      <c r="A529">
        <v>528</v>
      </c>
      <c r="B529">
        <v>3</v>
      </c>
      <c r="C529" s="1">
        <v>45122</v>
      </c>
      <c r="D529" s="2" t="s">
        <v>73</v>
      </c>
      <c r="E529">
        <v>1</v>
      </c>
      <c r="F529">
        <v>36</v>
      </c>
      <c r="G529">
        <v>155</v>
      </c>
      <c r="H529">
        <v>275</v>
      </c>
      <c r="I529" t="str">
        <f>VLOOKUP(Call_Center_Data[[#This Row],[Emp ID]],Employee[],2,FALSE)</f>
        <v>Jill John</v>
      </c>
      <c r="J529" t="str">
        <f>VLOOKUP(Call_Center_Data[[#This Row],[Emp ID]], Employee[], 3, FALSE)</f>
        <v>Spokane, WA</v>
      </c>
      <c r="K529" t="str">
        <f>VLOOKUP(Call_Center_Data[[#This Row],[Emp ID]], Employee[], 4, FALSE)</f>
        <v>John Gill</v>
      </c>
      <c r="L529" t="str">
        <f>VLOOKUP(Call_Center_Data[[#This Row],[Call Type ID]], Call_Type[], 2, FALSE)</f>
        <v>Tech Sup</v>
      </c>
    </row>
    <row r="530" spans="1:12" x14ac:dyDescent="0.3">
      <c r="A530">
        <v>529</v>
      </c>
      <c r="B530">
        <v>2</v>
      </c>
      <c r="C530" s="1">
        <v>45123</v>
      </c>
      <c r="D530" s="2" t="s">
        <v>86</v>
      </c>
      <c r="E530">
        <v>1</v>
      </c>
      <c r="F530">
        <v>40</v>
      </c>
      <c r="G530">
        <v>164</v>
      </c>
      <c r="H530">
        <v>207</v>
      </c>
      <c r="I530" t="str">
        <f>VLOOKUP(Call_Center_Data[[#This Row],[Emp ID]],Employee[],2,FALSE)</f>
        <v>Jill Gilder</v>
      </c>
      <c r="J530" t="str">
        <f>VLOOKUP(Call_Center_Data[[#This Row],[Emp ID]], Employee[], 3, FALSE)</f>
        <v>Aurora, CO</v>
      </c>
      <c r="K530" t="str">
        <f>VLOOKUP(Call_Center_Data[[#This Row],[Emp ID]], Employee[], 4, FALSE)</f>
        <v>Jenny Baas</v>
      </c>
      <c r="L530" t="str">
        <f>VLOOKUP(Call_Center_Data[[#This Row],[Call Type ID]], Call_Type[], 2, FALSE)</f>
        <v>Sales</v>
      </c>
    </row>
    <row r="531" spans="1:12" x14ac:dyDescent="0.3">
      <c r="A531">
        <v>530</v>
      </c>
      <c r="B531">
        <v>2</v>
      </c>
      <c r="C531" s="1">
        <v>45124</v>
      </c>
      <c r="D531" s="2" t="s">
        <v>65</v>
      </c>
      <c r="E531">
        <v>1</v>
      </c>
      <c r="F531">
        <v>42</v>
      </c>
      <c r="G531">
        <v>173</v>
      </c>
      <c r="H531">
        <v>220</v>
      </c>
      <c r="I531" t="str">
        <f>VLOOKUP(Call_Center_Data[[#This Row],[Emp ID]],Employee[],2,FALSE)</f>
        <v>Ultor John</v>
      </c>
      <c r="J531" t="str">
        <f>VLOOKUP(Call_Center_Data[[#This Row],[Emp ID]], Employee[], 3, FALSE)</f>
        <v>Spokane, WA</v>
      </c>
      <c r="K531" t="str">
        <f>VLOOKUP(Call_Center_Data[[#This Row],[Emp ID]], Employee[], 4, FALSE)</f>
        <v>John Mack</v>
      </c>
      <c r="L531" t="str">
        <f>VLOOKUP(Call_Center_Data[[#This Row],[Call Type ID]], Call_Type[], 2, FALSE)</f>
        <v>Sales</v>
      </c>
    </row>
    <row r="532" spans="1:12" x14ac:dyDescent="0.3">
      <c r="A532">
        <v>531</v>
      </c>
      <c r="B532">
        <v>1</v>
      </c>
      <c r="C532" s="1">
        <v>45125</v>
      </c>
      <c r="D532" s="2" t="s">
        <v>88</v>
      </c>
      <c r="E532">
        <v>0</v>
      </c>
      <c r="F532">
        <v>34</v>
      </c>
      <c r="G532">
        <v>155</v>
      </c>
      <c r="H532">
        <v>163</v>
      </c>
      <c r="I532" t="str">
        <f>VLOOKUP(Call_Center_Data[[#This Row],[Emp ID]],Employee[],2,FALSE)</f>
        <v>Gina Gilder</v>
      </c>
      <c r="J532" t="str">
        <f>VLOOKUP(Call_Center_Data[[#This Row],[Emp ID]], Employee[], 3, FALSE)</f>
        <v>Jacksonville, WA</v>
      </c>
      <c r="K532" t="str">
        <f>VLOOKUP(Call_Center_Data[[#This Row],[Emp ID]], Employee[], 4, FALSE)</f>
        <v>Pierce Rhodes</v>
      </c>
      <c r="L532" t="str">
        <f>VLOOKUP(Call_Center_Data[[#This Row],[Call Type ID]], Call_Type[], 2, FALSE)</f>
        <v>Billing</v>
      </c>
    </row>
    <row r="533" spans="1:12" x14ac:dyDescent="0.3">
      <c r="A533">
        <v>532</v>
      </c>
      <c r="B533">
        <v>2</v>
      </c>
      <c r="C533" s="1">
        <v>45126</v>
      </c>
      <c r="D533" s="2" t="s">
        <v>85</v>
      </c>
      <c r="E533">
        <v>0</v>
      </c>
      <c r="F533">
        <v>30</v>
      </c>
      <c r="G533">
        <v>156</v>
      </c>
      <c r="H533">
        <v>279</v>
      </c>
      <c r="I533" t="str">
        <f>VLOOKUP(Call_Center_Data[[#This Row],[Emp ID]],Employee[],2,FALSE)</f>
        <v>Tina Gilder</v>
      </c>
      <c r="J533" t="str">
        <f>VLOOKUP(Call_Center_Data[[#This Row],[Emp ID]], Employee[], 3, FALSE)</f>
        <v>Spokane, WA</v>
      </c>
      <c r="K533" t="str">
        <f>VLOOKUP(Call_Center_Data[[#This Row],[Emp ID]], Employee[], 4, FALSE)</f>
        <v>Timmy Baas</v>
      </c>
      <c r="L533" t="str">
        <f>VLOOKUP(Call_Center_Data[[#This Row],[Call Type ID]], Call_Type[], 2, FALSE)</f>
        <v>Sales</v>
      </c>
    </row>
    <row r="534" spans="1:12" x14ac:dyDescent="0.3">
      <c r="A534">
        <v>533</v>
      </c>
      <c r="B534">
        <v>2</v>
      </c>
      <c r="C534" s="1">
        <v>45127</v>
      </c>
      <c r="D534" s="2" t="s">
        <v>77</v>
      </c>
      <c r="E534">
        <v>0</v>
      </c>
      <c r="F534">
        <v>26</v>
      </c>
      <c r="G534">
        <v>170</v>
      </c>
      <c r="H534">
        <v>110</v>
      </c>
      <c r="I534" t="str">
        <f>VLOOKUP(Call_Center_Data[[#This Row],[Emp ID]],Employee[],2,FALSE)</f>
        <v>Sam Saab</v>
      </c>
      <c r="J534" t="str">
        <f>VLOOKUP(Call_Center_Data[[#This Row],[Emp ID]], Employee[], 3, FALSE)</f>
        <v>Aurora, CO</v>
      </c>
      <c r="K534" t="str">
        <f>VLOOKUP(Call_Center_Data[[#This Row],[Emp ID]], Employee[], 4, FALSE)</f>
        <v>Timmy Mack</v>
      </c>
      <c r="L534" t="str">
        <f>VLOOKUP(Call_Center_Data[[#This Row],[Call Type ID]], Call_Type[], 2, FALSE)</f>
        <v>Sales</v>
      </c>
    </row>
    <row r="535" spans="1:12" x14ac:dyDescent="0.3">
      <c r="A535">
        <v>534</v>
      </c>
      <c r="B535">
        <v>2</v>
      </c>
      <c r="C535" s="1">
        <v>45128</v>
      </c>
      <c r="D535" s="2" t="s">
        <v>66</v>
      </c>
      <c r="E535">
        <v>1</v>
      </c>
      <c r="F535">
        <v>30</v>
      </c>
      <c r="G535">
        <v>158</v>
      </c>
      <c r="H535">
        <v>331</v>
      </c>
      <c r="I535" t="str">
        <f>VLOOKUP(Call_Center_Data[[#This Row],[Emp ID]],Employee[],2,FALSE)</f>
        <v>Tina John</v>
      </c>
      <c r="J535" t="str">
        <f>VLOOKUP(Call_Center_Data[[#This Row],[Emp ID]], Employee[], 3, FALSE)</f>
        <v>Aurora, CO</v>
      </c>
      <c r="K535" t="str">
        <f>VLOOKUP(Call_Center_Data[[#This Row],[Emp ID]], Employee[], 4, FALSE)</f>
        <v>Timmy Rhodes</v>
      </c>
      <c r="L535" t="str">
        <f>VLOOKUP(Call_Center_Data[[#This Row],[Call Type ID]], Call_Type[], 2, FALSE)</f>
        <v>Sales</v>
      </c>
    </row>
    <row r="536" spans="1:12" x14ac:dyDescent="0.3">
      <c r="A536">
        <v>535</v>
      </c>
      <c r="B536">
        <v>2</v>
      </c>
      <c r="C536" s="1">
        <v>45129</v>
      </c>
      <c r="D536" s="2" t="s">
        <v>69</v>
      </c>
      <c r="E536">
        <v>0</v>
      </c>
      <c r="F536">
        <v>38</v>
      </c>
      <c r="G536">
        <v>173</v>
      </c>
      <c r="H536">
        <v>275</v>
      </c>
      <c r="I536" t="str">
        <f>VLOOKUP(Call_Center_Data[[#This Row],[Emp ID]],Employee[],2,FALSE)</f>
        <v>Sam Gilder</v>
      </c>
      <c r="J536" t="str">
        <f>VLOOKUP(Call_Center_Data[[#This Row],[Emp ID]], Employee[], 3, FALSE)</f>
        <v>Jacksonville, WA</v>
      </c>
      <c r="K536" t="str">
        <f>VLOOKUP(Call_Center_Data[[#This Row],[Emp ID]], Employee[], 4, FALSE)</f>
        <v>Timmy Hall</v>
      </c>
      <c r="L536" t="str">
        <f>VLOOKUP(Call_Center_Data[[#This Row],[Call Type ID]], Call_Type[], 2, FALSE)</f>
        <v>Sales</v>
      </c>
    </row>
    <row r="537" spans="1:12" x14ac:dyDescent="0.3">
      <c r="A537">
        <v>536</v>
      </c>
      <c r="B537">
        <v>2</v>
      </c>
      <c r="C537" s="1">
        <v>45130</v>
      </c>
      <c r="D537" s="2" t="s">
        <v>77</v>
      </c>
      <c r="E537">
        <v>1</v>
      </c>
      <c r="F537">
        <v>51</v>
      </c>
      <c r="G537">
        <v>167</v>
      </c>
      <c r="H537">
        <v>423</v>
      </c>
      <c r="I537" t="str">
        <f>VLOOKUP(Call_Center_Data[[#This Row],[Emp ID]],Employee[],2,FALSE)</f>
        <v>Sam Saab</v>
      </c>
      <c r="J537" t="str">
        <f>VLOOKUP(Call_Center_Data[[#This Row],[Emp ID]], Employee[], 3, FALSE)</f>
        <v>Aurora, CO</v>
      </c>
      <c r="K537" t="str">
        <f>VLOOKUP(Call_Center_Data[[#This Row],[Emp ID]], Employee[], 4, FALSE)</f>
        <v>Timmy Mack</v>
      </c>
      <c r="L537" t="str">
        <f>VLOOKUP(Call_Center_Data[[#This Row],[Call Type ID]], Call_Type[], 2, FALSE)</f>
        <v>Sales</v>
      </c>
    </row>
    <row r="538" spans="1:12" x14ac:dyDescent="0.3">
      <c r="A538">
        <v>537</v>
      </c>
      <c r="B538">
        <v>2</v>
      </c>
      <c r="C538" s="1">
        <v>45131</v>
      </c>
      <c r="D538" s="2" t="s">
        <v>69</v>
      </c>
      <c r="E538">
        <v>1</v>
      </c>
      <c r="F538">
        <v>48</v>
      </c>
      <c r="G538">
        <v>156</v>
      </c>
      <c r="H538">
        <v>275</v>
      </c>
      <c r="I538" t="str">
        <f>VLOOKUP(Call_Center_Data[[#This Row],[Emp ID]],Employee[],2,FALSE)</f>
        <v>Sam Gilder</v>
      </c>
      <c r="J538" t="str">
        <f>VLOOKUP(Call_Center_Data[[#This Row],[Emp ID]], Employee[], 3, FALSE)</f>
        <v>Jacksonville, WA</v>
      </c>
      <c r="K538" t="str">
        <f>VLOOKUP(Call_Center_Data[[#This Row],[Emp ID]], Employee[], 4, FALSE)</f>
        <v>Timmy Hall</v>
      </c>
      <c r="L538" t="str">
        <f>VLOOKUP(Call_Center_Data[[#This Row],[Call Type ID]], Call_Type[], 2, FALSE)</f>
        <v>Sales</v>
      </c>
    </row>
    <row r="539" spans="1:12" x14ac:dyDescent="0.3">
      <c r="A539">
        <v>538</v>
      </c>
      <c r="B539">
        <v>1</v>
      </c>
      <c r="C539" s="1">
        <v>45132</v>
      </c>
      <c r="D539" s="2" t="s">
        <v>82</v>
      </c>
      <c r="E539">
        <v>0</v>
      </c>
      <c r="F539">
        <v>38</v>
      </c>
      <c r="G539">
        <v>153</v>
      </c>
      <c r="H539">
        <v>261</v>
      </c>
      <c r="I539" t="str">
        <f>VLOOKUP(Call_Center_Data[[#This Row],[Emp ID]],Employee[],2,FALSE)</f>
        <v>Ultor Gilder</v>
      </c>
      <c r="J539" t="str">
        <f>VLOOKUP(Call_Center_Data[[#This Row],[Emp ID]], Employee[], 3, FALSE)</f>
        <v>Aurora, CO</v>
      </c>
      <c r="K539" t="str">
        <f>VLOOKUP(Call_Center_Data[[#This Row],[Emp ID]], Employee[], 4, FALSE)</f>
        <v>Pierce Mack</v>
      </c>
      <c r="L539" t="str">
        <f>VLOOKUP(Call_Center_Data[[#This Row],[Call Type ID]], Call_Type[], 2, FALSE)</f>
        <v>Billing</v>
      </c>
    </row>
    <row r="540" spans="1:12" x14ac:dyDescent="0.3">
      <c r="A540">
        <v>539</v>
      </c>
      <c r="B540">
        <v>3</v>
      </c>
      <c r="C540" s="1">
        <v>45133</v>
      </c>
      <c r="D540" s="2" t="s">
        <v>65</v>
      </c>
      <c r="E540">
        <v>0</v>
      </c>
      <c r="F540">
        <v>34</v>
      </c>
      <c r="G540">
        <v>156</v>
      </c>
      <c r="H540">
        <v>330</v>
      </c>
      <c r="I540" t="str">
        <f>VLOOKUP(Call_Center_Data[[#This Row],[Emp ID]],Employee[],2,FALSE)</f>
        <v>Ultor John</v>
      </c>
      <c r="J540" t="str">
        <f>VLOOKUP(Call_Center_Data[[#This Row],[Emp ID]], Employee[], 3, FALSE)</f>
        <v>Spokane, WA</v>
      </c>
      <c r="K540" t="str">
        <f>VLOOKUP(Call_Center_Data[[#This Row],[Emp ID]], Employee[], 4, FALSE)</f>
        <v>John Mack</v>
      </c>
      <c r="L540" t="str">
        <f>VLOOKUP(Call_Center_Data[[#This Row],[Call Type ID]], Call_Type[], 2, FALSE)</f>
        <v>Tech Sup</v>
      </c>
    </row>
    <row r="541" spans="1:12" x14ac:dyDescent="0.3">
      <c r="A541">
        <v>540</v>
      </c>
      <c r="B541">
        <v>1</v>
      </c>
      <c r="C541" s="1">
        <v>45134</v>
      </c>
      <c r="D541" s="2" t="s">
        <v>85</v>
      </c>
      <c r="E541">
        <v>1</v>
      </c>
      <c r="F541">
        <v>32</v>
      </c>
      <c r="G541">
        <v>148</v>
      </c>
      <c r="H541">
        <v>440</v>
      </c>
      <c r="I541" t="str">
        <f>VLOOKUP(Call_Center_Data[[#This Row],[Emp ID]],Employee[],2,FALSE)</f>
        <v>Tina Gilder</v>
      </c>
      <c r="J541" t="str">
        <f>VLOOKUP(Call_Center_Data[[#This Row],[Emp ID]], Employee[], 3, FALSE)</f>
        <v>Spokane, WA</v>
      </c>
      <c r="K541" t="str">
        <f>VLOOKUP(Call_Center_Data[[#This Row],[Emp ID]], Employee[], 4, FALSE)</f>
        <v>Timmy Baas</v>
      </c>
      <c r="L541" t="str">
        <f>VLOOKUP(Call_Center_Data[[#This Row],[Call Type ID]], Call_Type[], 2, FALSE)</f>
        <v>Billing</v>
      </c>
    </row>
    <row r="542" spans="1:12" x14ac:dyDescent="0.3">
      <c r="A542">
        <v>541</v>
      </c>
      <c r="B542">
        <v>3</v>
      </c>
      <c r="C542" s="1">
        <v>45135</v>
      </c>
      <c r="D542" s="2" t="s">
        <v>87</v>
      </c>
      <c r="E542">
        <v>1</v>
      </c>
      <c r="F542">
        <v>32</v>
      </c>
      <c r="G542">
        <v>163</v>
      </c>
      <c r="H542">
        <v>177</v>
      </c>
      <c r="I542" t="str">
        <f>VLOOKUP(Call_Center_Data[[#This Row],[Emp ID]],Employee[],2,FALSE)</f>
        <v>Gina Saab</v>
      </c>
      <c r="J542" t="str">
        <f>VLOOKUP(Call_Center_Data[[#This Row],[Emp ID]], Employee[], 3, FALSE)</f>
        <v>Jacksonville, WA</v>
      </c>
      <c r="K542" t="str">
        <f>VLOOKUP(Call_Center_Data[[#This Row],[Emp ID]], Employee[], 4, FALSE)</f>
        <v>Jenny Gill</v>
      </c>
      <c r="L542" t="str">
        <f>VLOOKUP(Call_Center_Data[[#This Row],[Call Type ID]], Call_Type[], 2, FALSE)</f>
        <v>Tech Sup</v>
      </c>
    </row>
    <row r="543" spans="1:12" x14ac:dyDescent="0.3">
      <c r="A543">
        <v>542</v>
      </c>
      <c r="B543">
        <v>3</v>
      </c>
      <c r="C543" s="1">
        <v>45136</v>
      </c>
      <c r="D543" s="2" t="s">
        <v>64</v>
      </c>
      <c r="E543">
        <v>0</v>
      </c>
      <c r="F543">
        <v>27</v>
      </c>
      <c r="G543">
        <v>177</v>
      </c>
      <c r="H543">
        <v>319</v>
      </c>
      <c r="I543" t="str">
        <f>VLOOKUP(Call_Center_Data[[#This Row],[Emp ID]],Employee[],2,FALSE)</f>
        <v>Jill Simons</v>
      </c>
      <c r="J543" t="str">
        <f>VLOOKUP(Call_Center_Data[[#This Row],[Emp ID]], Employee[], 3, FALSE)</f>
        <v>Spokane, WA</v>
      </c>
      <c r="K543" t="str">
        <f>VLOOKUP(Call_Center_Data[[#This Row],[Emp ID]], Employee[], 4, FALSE)</f>
        <v>Jenny Rhodes</v>
      </c>
      <c r="L543" t="str">
        <f>VLOOKUP(Call_Center_Data[[#This Row],[Call Type ID]], Call_Type[], 2, FALSE)</f>
        <v>Tech Sup</v>
      </c>
    </row>
    <row r="544" spans="1:12" x14ac:dyDescent="0.3">
      <c r="A544">
        <v>543</v>
      </c>
      <c r="B544">
        <v>1</v>
      </c>
      <c r="C544" s="1">
        <v>45137</v>
      </c>
      <c r="D544" s="2" t="s">
        <v>84</v>
      </c>
      <c r="E544">
        <v>1</v>
      </c>
      <c r="F544">
        <v>21</v>
      </c>
      <c r="G544">
        <v>165</v>
      </c>
      <c r="H544">
        <v>92</v>
      </c>
      <c r="I544" t="str">
        <f>VLOOKUP(Call_Center_Data[[#This Row],[Emp ID]],Employee[],2,FALSE)</f>
        <v>Sam John</v>
      </c>
      <c r="J544" t="str">
        <f>VLOOKUP(Call_Center_Data[[#This Row],[Emp ID]], Employee[], 3, FALSE)</f>
        <v>Aurora, CO</v>
      </c>
      <c r="K544" t="str">
        <f>VLOOKUP(Call_Center_Data[[#This Row],[Emp ID]], Employee[], 4, FALSE)</f>
        <v>Jenny Mack</v>
      </c>
      <c r="L544" t="str">
        <f>VLOOKUP(Call_Center_Data[[#This Row],[Call Type ID]], Call_Type[], 2, FALSE)</f>
        <v>Billing</v>
      </c>
    </row>
    <row r="545" spans="1:12" x14ac:dyDescent="0.3">
      <c r="A545">
        <v>544</v>
      </c>
      <c r="B545">
        <v>3</v>
      </c>
      <c r="C545" s="1">
        <v>45138</v>
      </c>
      <c r="D545" s="2" t="s">
        <v>88</v>
      </c>
      <c r="E545">
        <v>0</v>
      </c>
      <c r="F545">
        <v>22</v>
      </c>
      <c r="G545">
        <v>163</v>
      </c>
      <c r="H545">
        <v>455</v>
      </c>
      <c r="I545" t="str">
        <f>VLOOKUP(Call_Center_Data[[#This Row],[Emp ID]],Employee[],2,FALSE)</f>
        <v>Gina Gilder</v>
      </c>
      <c r="J545" t="str">
        <f>VLOOKUP(Call_Center_Data[[#This Row],[Emp ID]], Employee[], 3, FALSE)</f>
        <v>Jacksonville, WA</v>
      </c>
      <c r="K545" t="str">
        <f>VLOOKUP(Call_Center_Data[[#This Row],[Emp ID]], Employee[], 4, FALSE)</f>
        <v>Pierce Rhodes</v>
      </c>
      <c r="L545" t="str">
        <f>VLOOKUP(Call_Center_Data[[#This Row],[Call Type ID]], Call_Type[], 2, FALSE)</f>
        <v>Tech Sup</v>
      </c>
    </row>
    <row r="546" spans="1:12" x14ac:dyDescent="0.3">
      <c r="A546">
        <v>545</v>
      </c>
      <c r="B546">
        <v>2</v>
      </c>
      <c r="C546" s="1">
        <v>45139</v>
      </c>
      <c r="D546" s="2" t="s">
        <v>73</v>
      </c>
      <c r="E546">
        <v>1</v>
      </c>
      <c r="F546">
        <v>32</v>
      </c>
      <c r="G546">
        <v>178</v>
      </c>
      <c r="H546">
        <v>182</v>
      </c>
      <c r="I546" t="str">
        <f>VLOOKUP(Call_Center_Data[[#This Row],[Emp ID]],Employee[],2,FALSE)</f>
        <v>Jill John</v>
      </c>
      <c r="J546" t="str">
        <f>VLOOKUP(Call_Center_Data[[#This Row],[Emp ID]], Employee[], 3, FALSE)</f>
        <v>Spokane, WA</v>
      </c>
      <c r="K546" t="str">
        <f>VLOOKUP(Call_Center_Data[[#This Row],[Emp ID]], Employee[], 4, FALSE)</f>
        <v>John Gill</v>
      </c>
      <c r="L546" t="str">
        <f>VLOOKUP(Call_Center_Data[[#This Row],[Call Type ID]], Call_Type[], 2, FALSE)</f>
        <v>Sales</v>
      </c>
    </row>
    <row r="547" spans="1:12" x14ac:dyDescent="0.3">
      <c r="A547">
        <v>546</v>
      </c>
      <c r="B547">
        <v>2</v>
      </c>
      <c r="C547" s="1">
        <v>45140</v>
      </c>
      <c r="D547" s="2" t="s">
        <v>64</v>
      </c>
      <c r="E547">
        <v>0</v>
      </c>
      <c r="F547">
        <v>26</v>
      </c>
      <c r="G547">
        <v>172</v>
      </c>
      <c r="H547">
        <v>110</v>
      </c>
      <c r="I547" t="str">
        <f>VLOOKUP(Call_Center_Data[[#This Row],[Emp ID]],Employee[],2,FALSE)</f>
        <v>Jill Simons</v>
      </c>
      <c r="J547" t="str">
        <f>VLOOKUP(Call_Center_Data[[#This Row],[Emp ID]], Employee[], 3, FALSE)</f>
        <v>Spokane, WA</v>
      </c>
      <c r="K547" t="str">
        <f>VLOOKUP(Call_Center_Data[[#This Row],[Emp ID]], Employee[], 4, FALSE)</f>
        <v>Jenny Rhodes</v>
      </c>
      <c r="L547" t="str">
        <f>VLOOKUP(Call_Center_Data[[#This Row],[Call Type ID]], Call_Type[], 2, FALSE)</f>
        <v>Sales</v>
      </c>
    </row>
    <row r="548" spans="1:12" x14ac:dyDescent="0.3">
      <c r="A548">
        <v>547</v>
      </c>
      <c r="B548">
        <v>3</v>
      </c>
      <c r="C548" s="1">
        <v>45141</v>
      </c>
      <c r="D548" s="2" t="s">
        <v>76</v>
      </c>
      <c r="E548">
        <v>0</v>
      </c>
      <c r="F548">
        <v>18</v>
      </c>
      <c r="G548">
        <v>127</v>
      </c>
      <c r="H548">
        <v>120</v>
      </c>
      <c r="I548" t="str">
        <f>VLOOKUP(Call_Center_Data[[#This Row],[Emp ID]],Employee[],2,FALSE)</f>
        <v>Ultor Saab</v>
      </c>
      <c r="J548" t="str">
        <f>VLOOKUP(Call_Center_Data[[#This Row],[Emp ID]], Employee[], 3, FALSE)</f>
        <v>Aurora, CO</v>
      </c>
      <c r="K548" t="str">
        <f>VLOOKUP(Call_Center_Data[[#This Row],[Emp ID]], Employee[], 4, FALSE)</f>
        <v>Pierce Baas</v>
      </c>
      <c r="L548" t="str">
        <f>VLOOKUP(Call_Center_Data[[#This Row],[Call Type ID]], Call_Type[], 2, FALSE)</f>
        <v>Tech Sup</v>
      </c>
    </row>
    <row r="549" spans="1:12" x14ac:dyDescent="0.3">
      <c r="A549">
        <v>548</v>
      </c>
      <c r="B549">
        <v>3</v>
      </c>
      <c r="C549" s="1">
        <v>45142</v>
      </c>
      <c r="D549" s="2" t="s">
        <v>68</v>
      </c>
      <c r="E549">
        <v>1</v>
      </c>
      <c r="F549">
        <v>17</v>
      </c>
      <c r="G549">
        <v>184</v>
      </c>
      <c r="H549">
        <v>385</v>
      </c>
      <c r="I549" t="str">
        <f>VLOOKUP(Call_Center_Data[[#This Row],[Emp ID]],Employee[],2,FALSE)</f>
        <v>Tina Saab</v>
      </c>
      <c r="J549" t="str">
        <f>VLOOKUP(Call_Center_Data[[#This Row],[Emp ID]], Employee[], 3, FALSE)</f>
        <v>Spokane, WA</v>
      </c>
      <c r="K549" t="str">
        <f>VLOOKUP(Call_Center_Data[[#This Row],[Emp ID]], Employee[], 4, FALSE)</f>
        <v>Henry Baas</v>
      </c>
      <c r="L549" t="str">
        <f>VLOOKUP(Call_Center_Data[[#This Row],[Call Type ID]], Call_Type[], 2, FALSE)</f>
        <v>Tech Sup</v>
      </c>
    </row>
    <row r="550" spans="1:12" x14ac:dyDescent="0.3">
      <c r="A550">
        <v>549</v>
      </c>
      <c r="B550">
        <v>1</v>
      </c>
      <c r="C550" s="1">
        <v>45143</v>
      </c>
      <c r="D550" s="2" t="s">
        <v>71</v>
      </c>
      <c r="E550">
        <v>0</v>
      </c>
      <c r="F550">
        <v>26</v>
      </c>
      <c r="G550">
        <v>176</v>
      </c>
      <c r="H550">
        <v>219</v>
      </c>
      <c r="I550" t="str">
        <f>VLOOKUP(Call_Center_Data[[#This Row],[Emp ID]],Employee[],2,FALSE)</f>
        <v>Sam Pat</v>
      </c>
      <c r="J550" t="str">
        <f>VLOOKUP(Call_Center_Data[[#This Row],[Emp ID]], Employee[], 3, FALSE)</f>
        <v>Aurora, CO</v>
      </c>
      <c r="K550" t="str">
        <f>VLOOKUP(Call_Center_Data[[#This Row],[Emp ID]], Employee[], 4, FALSE)</f>
        <v>Henry Mack</v>
      </c>
      <c r="L550" t="str">
        <f>VLOOKUP(Call_Center_Data[[#This Row],[Call Type ID]], Call_Type[], 2, FALSE)</f>
        <v>Billing</v>
      </c>
    </row>
    <row r="551" spans="1:12" x14ac:dyDescent="0.3">
      <c r="A551">
        <v>550</v>
      </c>
      <c r="B551">
        <v>3</v>
      </c>
      <c r="C551" s="1">
        <v>45144</v>
      </c>
      <c r="D551" s="2" t="s">
        <v>73</v>
      </c>
      <c r="E551">
        <v>0</v>
      </c>
      <c r="F551">
        <v>17</v>
      </c>
      <c r="G551">
        <v>173</v>
      </c>
      <c r="H551">
        <v>165</v>
      </c>
      <c r="I551" t="str">
        <f>VLOOKUP(Call_Center_Data[[#This Row],[Emp ID]],Employee[],2,FALSE)</f>
        <v>Jill John</v>
      </c>
      <c r="J551" t="str">
        <f>VLOOKUP(Call_Center_Data[[#This Row],[Emp ID]], Employee[], 3, FALSE)</f>
        <v>Spokane, WA</v>
      </c>
      <c r="K551" t="str">
        <f>VLOOKUP(Call_Center_Data[[#This Row],[Emp ID]], Employee[], 4, FALSE)</f>
        <v>John Gill</v>
      </c>
      <c r="L551" t="str">
        <f>VLOOKUP(Call_Center_Data[[#This Row],[Call Type ID]], Call_Type[], 2, FALSE)</f>
        <v>Tech Sup</v>
      </c>
    </row>
    <row r="552" spans="1:12" x14ac:dyDescent="0.3">
      <c r="A552">
        <v>551</v>
      </c>
      <c r="B552">
        <v>2</v>
      </c>
      <c r="C552" s="1">
        <v>45145</v>
      </c>
      <c r="D552" s="2" t="s">
        <v>70</v>
      </c>
      <c r="E552">
        <v>0</v>
      </c>
      <c r="F552">
        <v>17</v>
      </c>
      <c r="G552">
        <v>180</v>
      </c>
      <c r="H552">
        <v>165</v>
      </c>
      <c r="I552" t="str">
        <f>VLOOKUP(Call_Center_Data[[#This Row],[Emp ID]],Employee[],2,FALSE)</f>
        <v>Jill Pat</v>
      </c>
      <c r="J552" t="str">
        <f>VLOOKUP(Call_Center_Data[[#This Row],[Emp ID]], Employee[], 3, FALSE)</f>
        <v>Aurora, CO</v>
      </c>
      <c r="K552" t="str">
        <f>VLOOKUP(Call_Center_Data[[#This Row],[Emp ID]], Employee[], 4, FALSE)</f>
        <v>Henry Rhodes</v>
      </c>
      <c r="L552" t="str">
        <f>VLOOKUP(Call_Center_Data[[#This Row],[Call Type ID]], Call_Type[], 2, FALSE)</f>
        <v>Sales</v>
      </c>
    </row>
    <row r="553" spans="1:12" x14ac:dyDescent="0.3">
      <c r="A553">
        <v>552</v>
      </c>
      <c r="B553">
        <v>2</v>
      </c>
      <c r="C553" s="1">
        <v>45146</v>
      </c>
      <c r="D553" s="2" t="s">
        <v>84</v>
      </c>
      <c r="E553">
        <v>0</v>
      </c>
      <c r="F553">
        <v>20</v>
      </c>
      <c r="G553">
        <v>157</v>
      </c>
      <c r="H553">
        <v>120</v>
      </c>
      <c r="I553" t="str">
        <f>VLOOKUP(Call_Center_Data[[#This Row],[Emp ID]],Employee[],2,FALSE)</f>
        <v>Sam John</v>
      </c>
      <c r="J553" t="str">
        <f>VLOOKUP(Call_Center_Data[[#This Row],[Emp ID]], Employee[], 3, FALSE)</f>
        <v>Aurora, CO</v>
      </c>
      <c r="K553" t="str">
        <f>VLOOKUP(Call_Center_Data[[#This Row],[Emp ID]], Employee[], 4, FALSE)</f>
        <v>Jenny Mack</v>
      </c>
      <c r="L553" t="str">
        <f>VLOOKUP(Call_Center_Data[[#This Row],[Call Type ID]], Call_Type[], 2, FALSE)</f>
        <v>Sales</v>
      </c>
    </row>
    <row r="554" spans="1:12" x14ac:dyDescent="0.3">
      <c r="A554">
        <v>553</v>
      </c>
      <c r="B554">
        <v>1</v>
      </c>
      <c r="C554" s="1">
        <v>45147</v>
      </c>
      <c r="D554" s="2" t="s">
        <v>68</v>
      </c>
      <c r="E554">
        <v>1</v>
      </c>
      <c r="F554">
        <v>24</v>
      </c>
      <c r="G554">
        <v>169</v>
      </c>
      <c r="H554">
        <v>166</v>
      </c>
      <c r="I554" t="str">
        <f>VLOOKUP(Call_Center_Data[[#This Row],[Emp ID]],Employee[],2,FALSE)</f>
        <v>Tina Saab</v>
      </c>
      <c r="J554" t="str">
        <f>VLOOKUP(Call_Center_Data[[#This Row],[Emp ID]], Employee[], 3, FALSE)</f>
        <v>Spokane, WA</v>
      </c>
      <c r="K554" t="str">
        <f>VLOOKUP(Call_Center_Data[[#This Row],[Emp ID]], Employee[], 4, FALSE)</f>
        <v>Henry Baas</v>
      </c>
      <c r="L554" t="str">
        <f>VLOOKUP(Call_Center_Data[[#This Row],[Call Type ID]], Call_Type[], 2, FALSE)</f>
        <v>Billing</v>
      </c>
    </row>
    <row r="555" spans="1:12" x14ac:dyDescent="0.3">
      <c r="A555">
        <v>554</v>
      </c>
      <c r="B555">
        <v>1</v>
      </c>
      <c r="C555" s="1">
        <v>45148</v>
      </c>
      <c r="D555" s="2" t="s">
        <v>75</v>
      </c>
      <c r="E555">
        <v>1</v>
      </c>
      <c r="F555">
        <v>17</v>
      </c>
      <c r="G555">
        <v>159</v>
      </c>
      <c r="H555">
        <v>122</v>
      </c>
      <c r="I555" t="str">
        <f>VLOOKUP(Call_Center_Data[[#This Row],[Emp ID]],Employee[],2,FALSE)</f>
        <v>Gina Pat</v>
      </c>
      <c r="J555" t="str">
        <f>VLOOKUP(Call_Center_Data[[#This Row],[Emp ID]], Employee[], 3, FALSE)</f>
        <v>Spokane, WA</v>
      </c>
      <c r="K555" t="str">
        <f>VLOOKUP(Call_Center_Data[[#This Row],[Emp ID]], Employee[], 4, FALSE)</f>
        <v>Henry Hall</v>
      </c>
      <c r="L555" t="str">
        <f>VLOOKUP(Call_Center_Data[[#This Row],[Call Type ID]], Call_Type[], 2, FALSE)</f>
        <v>Billing</v>
      </c>
    </row>
    <row r="556" spans="1:12" x14ac:dyDescent="0.3">
      <c r="A556">
        <v>555</v>
      </c>
      <c r="B556">
        <v>1</v>
      </c>
      <c r="C556" s="1">
        <v>45149</v>
      </c>
      <c r="D556" s="2" t="s">
        <v>69</v>
      </c>
      <c r="E556">
        <v>0</v>
      </c>
      <c r="F556">
        <v>16</v>
      </c>
      <c r="G556">
        <v>161</v>
      </c>
      <c r="H556">
        <v>385</v>
      </c>
      <c r="I556" t="str">
        <f>VLOOKUP(Call_Center_Data[[#This Row],[Emp ID]],Employee[],2,FALSE)</f>
        <v>Sam Gilder</v>
      </c>
      <c r="J556" t="str">
        <f>VLOOKUP(Call_Center_Data[[#This Row],[Emp ID]], Employee[], 3, FALSE)</f>
        <v>Jacksonville, WA</v>
      </c>
      <c r="K556" t="str">
        <f>VLOOKUP(Call_Center_Data[[#This Row],[Emp ID]], Employee[], 4, FALSE)</f>
        <v>Timmy Hall</v>
      </c>
      <c r="L556" t="str">
        <f>VLOOKUP(Call_Center_Data[[#This Row],[Call Type ID]], Call_Type[], 2, FALSE)</f>
        <v>Billing</v>
      </c>
    </row>
    <row r="557" spans="1:12" x14ac:dyDescent="0.3">
      <c r="A557">
        <v>556</v>
      </c>
      <c r="B557">
        <v>3</v>
      </c>
      <c r="C557" s="1">
        <v>45150</v>
      </c>
      <c r="D557" s="2" t="s">
        <v>69</v>
      </c>
      <c r="E557">
        <v>1</v>
      </c>
      <c r="F557">
        <v>19</v>
      </c>
      <c r="G557">
        <v>175</v>
      </c>
      <c r="H557">
        <v>275</v>
      </c>
      <c r="I557" t="str">
        <f>VLOOKUP(Call_Center_Data[[#This Row],[Emp ID]],Employee[],2,FALSE)</f>
        <v>Sam Gilder</v>
      </c>
      <c r="J557" t="str">
        <f>VLOOKUP(Call_Center_Data[[#This Row],[Emp ID]], Employee[], 3, FALSE)</f>
        <v>Jacksonville, WA</v>
      </c>
      <c r="K557" t="str">
        <f>VLOOKUP(Call_Center_Data[[#This Row],[Emp ID]], Employee[], 4, FALSE)</f>
        <v>Timmy Hall</v>
      </c>
      <c r="L557" t="str">
        <f>VLOOKUP(Call_Center_Data[[#This Row],[Call Type ID]], Call_Type[], 2, FALSE)</f>
        <v>Tech Sup</v>
      </c>
    </row>
    <row r="558" spans="1:12" x14ac:dyDescent="0.3">
      <c r="A558">
        <v>557</v>
      </c>
      <c r="B558">
        <v>2</v>
      </c>
      <c r="C558" s="1">
        <v>45151</v>
      </c>
      <c r="D558" s="2" t="s">
        <v>87</v>
      </c>
      <c r="E558">
        <v>1</v>
      </c>
      <c r="F558">
        <v>21</v>
      </c>
      <c r="G558">
        <v>158</v>
      </c>
      <c r="H558">
        <v>198</v>
      </c>
      <c r="I558" t="str">
        <f>VLOOKUP(Call_Center_Data[[#This Row],[Emp ID]],Employee[],2,FALSE)</f>
        <v>Gina Saab</v>
      </c>
      <c r="J558" t="str">
        <f>VLOOKUP(Call_Center_Data[[#This Row],[Emp ID]], Employee[], 3, FALSE)</f>
        <v>Jacksonville, WA</v>
      </c>
      <c r="K558" t="str">
        <f>VLOOKUP(Call_Center_Data[[#This Row],[Emp ID]], Employee[], 4, FALSE)</f>
        <v>Jenny Gill</v>
      </c>
      <c r="L558" t="str">
        <f>VLOOKUP(Call_Center_Data[[#This Row],[Call Type ID]], Call_Type[], 2, FALSE)</f>
        <v>Sales</v>
      </c>
    </row>
    <row r="559" spans="1:12" x14ac:dyDescent="0.3">
      <c r="A559">
        <v>558</v>
      </c>
      <c r="B559">
        <v>3</v>
      </c>
      <c r="C559" s="1">
        <v>45152</v>
      </c>
      <c r="D559" s="2" t="s">
        <v>76</v>
      </c>
      <c r="E559">
        <v>0</v>
      </c>
      <c r="F559">
        <v>23</v>
      </c>
      <c r="G559">
        <v>157</v>
      </c>
      <c r="H559">
        <v>170</v>
      </c>
      <c r="I559" t="str">
        <f>VLOOKUP(Call_Center_Data[[#This Row],[Emp ID]],Employee[],2,FALSE)</f>
        <v>Ultor Saab</v>
      </c>
      <c r="J559" t="str">
        <f>VLOOKUP(Call_Center_Data[[#This Row],[Emp ID]], Employee[], 3, FALSE)</f>
        <v>Aurora, CO</v>
      </c>
      <c r="K559" t="str">
        <f>VLOOKUP(Call_Center_Data[[#This Row],[Emp ID]], Employee[], 4, FALSE)</f>
        <v>Pierce Baas</v>
      </c>
      <c r="L559" t="str">
        <f>VLOOKUP(Call_Center_Data[[#This Row],[Call Type ID]], Call_Type[], 2, FALSE)</f>
        <v>Tech Sup</v>
      </c>
    </row>
    <row r="560" spans="1:12" x14ac:dyDescent="0.3">
      <c r="A560">
        <v>559</v>
      </c>
      <c r="B560">
        <v>2</v>
      </c>
      <c r="C560" s="1">
        <v>45153</v>
      </c>
      <c r="D560" s="2" t="s">
        <v>72</v>
      </c>
      <c r="E560">
        <v>0</v>
      </c>
      <c r="F560">
        <v>30</v>
      </c>
      <c r="G560">
        <v>172</v>
      </c>
      <c r="H560">
        <v>256</v>
      </c>
      <c r="I560" t="str">
        <f>VLOOKUP(Call_Center_Data[[#This Row],[Emp ID]],Employee[],2,FALSE)</f>
        <v>Ultor Pat</v>
      </c>
      <c r="J560" t="str">
        <f>VLOOKUP(Call_Center_Data[[#This Row],[Emp ID]], Employee[], 3, FALSE)</f>
        <v>Jacksonville, WA</v>
      </c>
      <c r="K560" t="str">
        <f>VLOOKUP(Call_Center_Data[[#This Row],[Emp ID]], Employee[], 4, FALSE)</f>
        <v>Jenny Hall</v>
      </c>
      <c r="L560" t="str">
        <f>VLOOKUP(Call_Center_Data[[#This Row],[Call Type ID]], Call_Type[], 2, FALSE)</f>
        <v>Sales</v>
      </c>
    </row>
    <row r="561" spans="1:12" x14ac:dyDescent="0.3">
      <c r="A561">
        <v>560</v>
      </c>
      <c r="B561">
        <v>2</v>
      </c>
      <c r="C561" s="1">
        <v>45154</v>
      </c>
      <c r="D561" s="2" t="s">
        <v>75</v>
      </c>
      <c r="E561">
        <v>0</v>
      </c>
      <c r="F561">
        <v>14</v>
      </c>
      <c r="G561">
        <v>148</v>
      </c>
      <c r="H561">
        <v>121</v>
      </c>
      <c r="I561" t="str">
        <f>VLOOKUP(Call_Center_Data[[#This Row],[Emp ID]],Employee[],2,FALSE)</f>
        <v>Gina Pat</v>
      </c>
      <c r="J561" t="str">
        <f>VLOOKUP(Call_Center_Data[[#This Row],[Emp ID]], Employee[], 3, FALSE)</f>
        <v>Spokane, WA</v>
      </c>
      <c r="K561" t="str">
        <f>VLOOKUP(Call_Center_Data[[#This Row],[Emp ID]], Employee[], 4, FALSE)</f>
        <v>Henry Hall</v>
      </c>
      <c r="L561" t="str">
        <f>VLOOKUP(Call_Center_Data[[#This Row],[Call Type ID]], Call_Type[], 2, FALSE)</f>
        <v>Sales</v>
      </c>
    </row>
    <row r="562" spans="1:12" x14ac:dyDescent="0.3">
      <c r="A562">
        <v>561</v>
      </c>
      <c r="B562">
        <v>1</v>
      </c>
      <c r="C562" s="1">
        <v>45155</v>
      </c>
      <c r="D562" s="2" t="s">
        <v>86</v>
      </c>
      <c r="E562">
        <v>1</v>
      </c>
      <c r="F562">
        <v>12</v>
      </c>
      <c r="G562">
        <v>159</v>
      </c>
      <c r="H562">
        <v>177</v>
      </c>
      <c r="I562" t="str">
        <f>VLOOKUP(Call_Center_Data[[#This Row],[Emp ID]],Employee[],2,FALSE)</f>
        <v>Jill Gilder</v>
      </c>
      <c r="J562" t="str">
        <f>VLOOKUP(Call_Center_Data[[#This Row],[Emp ID]], Employee[], 3, FALSE)</f>
        <v>Aurora, CO</v>
      </c>
      <c r="K562" t="str">
        <f>VLOOKUP(Call_Center_Data[[#This Row],[Emp ID]], Employee[], 4, FALSE)</f>
        <v>Jenny Baas</v>
      </c>
      <c r="L562" t="str">
        <f>VLOOKUP(Call_Center_Data[[#This Row],[Call Type ID]], Call_Type[], 2, FALSE)</f>
        <v>Billing</v>
      </c>
    </row>
    <row r="563" spans="1:12" x14ac:dyDescent="0.3">
      <c r="A563">
        <v>562</v>
      </c>
      <c r="B563">
        <v>1</v>
      </c>
      <c r="C563" s="1">
        <v>45156</v>
      </c>
      <c r="D563" s="2" t="s">
        <v>77</v>
      </c>
      <c r="E563">
        <v>1</v>
      </c>
      <c r="F563">
        <v>30</v>
      </c>
      <c r="G563">
        <v>166</v>
      </c>
      <c r="H563">
        <v>227</v>
      </c>
      <c r="I563" t="str">
        <f>VLOOKUP(Call_Center_Data[[#This Row],[Emp ID]],Employee[],2,FALSE)</f>
        <v>Sam Saab</v>
      </c>
      <c r="J563" t="str">
        <f>VLOOKUP(Call_Center_Data[[#This Row],[Emp ID]], Employee[], 3, FALSE)</f>
        <v>Aurora, CO</v>
      </c>
      <c r="K563" t="str">
        <f>VLOOKUP(Call_Center_Data[[#This Row],[Emp ID]], Employee[], 4, FALSE)</f>
        <v>Timmy Mack</v>
      </c>
      <c r="L563" t="str">
        <f>VLOOKUP(Call_Center_Data[[#This Row],[Call Type ID]], Call_Type[], 2, FALSE)</f>
        <v>Billing</v>
      </c>
    </row>
    <row r="564" spans="1:12" x14ac:dyDescent="0.3">
      <c r="A564">
        <v>563</v>
      </c>
      <c r="B564">
        <v>3</v>
      </c>
      <c r="C564" s="1">
        <v>45157</v>
      </c>
      <c r="D564" s="2" t="s">
        <v>70</v>
      </c>
      <c r="E564">
        <v>0</v>
      </c>
      <c r="F564">
        <v>17</v>
      </c>
      <c r="G564">
        <v>167</v>
      </c>
      <c r="H564">
        <v>155</v>
      </c>
      <c r="I564" t="str">
        <f>VLOOKUP(Call_Center_Data[[#This Row],[Emp ID]],Employee[],2,FALSE)</f>
        <v>Jill Pat</v>
      </c>
      <c r="J564" t="str">
        <f>VLOOKUP(Call_Center_Data[[#This Row],[Emp ID]], Employee[], 3, FALSE)</f>
        <v>Aurora, CO</v>
      </c>
      <c r="K564" t="str">
        <f>VLOOKUP(Call_Center_Data[[#This Row],[Emp ID]], Employee[], 4, FALSE)</f>
        <v>Henry Rhodes</v>
      </c>
      <c r="L564" t="str">
        <f>VLOOKUP(Call_Center_Data[[#This Row],[Call Type ID]], Call_Type[], 2, FALSE)</f>
        <v>Tech Sup</v>
      </c>
    </row>
    <row r="565" spans="1:12" x14ac:dyDescent="0.3">
      <c r="A565">
        <v>564</v>
      </c>
      <c r="B565">
        <v>2</v>
      </c>
      <c r="C565" s="1">
        <v>45158</v>
      </c>
      <c r="D565" s="2" t="s">
        <v>79</v>
      </c>
      <c r="E565">
        <v>1</v>
      </c>
      <c r="F565">
        <v>21</v>
      </c>
      <c r="G565">
        <v>162</v>
      </c>
      <c r="H565">
        <v>220</v>
      </c>
      <c r="I565" t="str">
        <f>VLOOKUP(Call_Center_Data[[#This Row],[Emp ID]],Employee[],2,FALSE)</f>
        <v>Gina Simons</v>
      </c>
      <c r="J565" t="str">
        <f>VLOOKUP(Call_Center_Data[[#This Row],[Emp ID]], Employee[], 3, FALSE)</f>
        <v>Spokane, WA</v>
      </c>
      <c r="K565" t="str">
        <f>VLOOKUP(Call_Center_Data[[#This Row],[Emp ID]], Employee[], 4, FALSE)</f>
        <v>John Rhodes</v>
      </c>
      <c r="L565" t="str">
        <f>VLOOKUP(Call_Center_Data[[#This Row],[Call Type ID]], Call_Type[], 2, FALSE)</f>
        <v>Sales</v>
      </c>
    </row>
    <row r="566" spans="1:12" x14ac:dyDescent="0.3">
      <c r="A566">
        <v>565</v>
      </c>
      <c r="B566">
        <v>2</v>
      </c>
      <c r="C566" s="1">
        <v>45159</v>
      </c>
      <c r="D566" s="2" t="s">
        <v>84</v>
      </c>
      <c r="E566">
        <v>0</v>
      </c>
      <c r="F566">
        <v>51</v>
      </c>
      <c r="G566">
        <v>166</v>
      </c>
      <c r="H566">
        <v>254</v>
      </c>
      <c r="I566" t="str">
        <f>VLOOKUP(Call_Center_Data[[#This Row],[Emp ID]],Employee[],2,FALSE)</f>
        <v>Sam John</v>
      </c>
      <c r="J566" t="str">
        <f>VLOOKUP(Call_Center_Data[[#This Row],[Emp ID]], Employee[], 3, FALSE)</f>
        <v>Aurora, CO</v>
      </c>
      <c r="K566" t="str">
        <f>VLOOKUP(Call_Center_Data[[#This Row],[Emp ID]], Employee[], 4, FALSE)</f>
        <v>Jenny Mack</v>
      </c>
      <c r="L566" t="str">
        <f>VLOOKUP(Call_Center_Data[[#This Row],[Call Type ID]], Call_Type[], 2, FALSE)</f>
        <v>Sales</v>
      </c>
    </row>
    <row r="567" spans="1:12" x14ac:dyDescent="0.3">
      <c r="A567">
        <v>566</v>
      </c>
      <c r="B567">
        <v>3</v>
      </c>
      <c r="C567" s="1">
        <v>45160</v>
      </c>
      <c r="D567" s="2" t="s">
        <v>83</v>
      </c>
      <c r="E567">
        <v>1</v>
      </c>
      <c r="F567">
        <v>52</v>
      </c>
      <c r="G567">
        <v>150</v>
      </c>
      <c r="H567">
        <v>338</v>
      </c>
      <c r="I567" t="str">
        <f>VLOOKUP(Call_Center_Data[[#This Row],[Emp ID]],Employee[],2,FALSE)</f>
        <v>Ultor Simons</v>
      </c>
      <c r="J567" t="str">
        <f>VLOOKUP(Call_Center_Data[[#This Row],[Emp ID]], Employee[], 3, FALSE)</f>
        <v>Jacksonville, WA</v>
      </c>
      <c r="K567" t="str">
        <f>VLOOKUP(Call_Center_Data[[#This Row],[Emp ID]], Employee[], 4, FALSE)</f>
        <v>Pierce Hall</v>
      </c>
      <c r="L567" t="str">
        <f>VLOOKUP(Call_Center_Data[[#This Row],[Call Type ID]], Call_Type[], 2, FALSE)</f>
        <v>Tech Sup</v>
      </c>
    </row>
    <row r="568" spans="1:12" x14ac:dyDescent="0.3">
      <c r="A568">
        <v>567</v>
      </c>
      <c r="B568">
        <v>2</v>
      </c>
      <c r="C568" s="1">
        <v>45161</v>
      </c>
      <c r="D568" s="2" t="s">
        <v>78</v>
      </c>
      <c r="E568">
        <v>1</v>
      </c>
      <c r="F568">
        <v>32</v>
      </c>
      <c r="G568">
        <v>164</v>
      </c>
      <c r="H568">
        <v>214</v>
      </c>
      <c r="I568" t="str">
        <f>VLOOKUP(Call_Center_Data[[#This Row],[Emp ID]],Employee[],2,FALSE)</f>
        <v>Jill Saab</v>
      </c>
      <c r="J568" t="str">
        <f>VLOOKUP(Call_Center_Data[[#This Row],[Emp ID]], Employee[], 3, FALSE)</f>
        <v>Spokane, WA</v>
      </c>
      <c r="K568" t="str">
        <f>VLOOKUP(Call_Center_Data[[#This Row],[Emp ID]], Employee[], 4, FALSE)</f>
        <v>Timmy Gill</v>
      </c>
      <c r="L568" t="str">
        <f>VLOOKUP(Call_Center_Data[[#This Row],[Call Type ID]], Call_Type[], 2, FALSE)</f>
        <v>Sales</v>
      </c>
    </row>
    <row r="569" spans="1:12" x14ac:dyDescent="0.3">
      <c r="A569">
        <v>568</v>
      </c>
      <c r="B569">
        <v>1</v>
      </c>
      <c r="C569" s="1">
        <v>45162</v>
      </c>
      <c r="D569" s="2" t="s">
        <v>81</v>
      </c>
      <c r="E569">
        <v>0</v>
      </c>
      <c r="F569">
        <v>41</v>
      </c>
      <c r="G569">
        <v>160</v>
      </c>
      <c r="H569">
        <v>309</v>
      </c>
      <c r="I569" t="str">
        <f>VLOOKUP(Call_Center_Data[[#This Row],[Emp ID]],Employee[],2,FALSE)</f>
        <v>Sam Simons</v>
      </c>
      <c r="J569" t="str">
        <f>VLOOKUP(Call_Center_Data[[#This Row],[Emp ID]], Employee[], 3, FALSE)</f>
        <v>Jacksonville, WA</v>
      </c>
      <c r="K569" t="str">
        <f>VLOOKUP(Call_Center_Data[[#This Row],[Emp ID]], Employee[], 4, FALSE)</f>
        <v>John Baas</v>
      </c>
      <c r="L569" t="str">
        <f>VLOOKUP(Call_Center_Data[[#This Row],[Call Type ID]], Call_Type[], 2, FALSE)</f>
        <v>Billing</v>
      </c>
    </row>
    <row r="570" spans="1:12" x14ac:dyDescent="0.3">
      <c r="A570">
        <v>569</v>
      </c>
      <c r="B570">
        <v>2</v>
      </c>
      <c r="C570" s="1">
        <v>45163</v>
      </c>
      <c r="D570" s="2" t="s">
        <v>78</v>
      </c>
      <c r="E570">
        <v>1</v>
      </c>
      <c r="F570">
        <v>70</v>
      </c>
      <c r="G570">
        <v>150</v>
      </c>
      <c r="H570">
        <v>471</v>
      </c>
      <c r="I570" t="str">
        <f>VLOOKUP(Call_Center_Data[[#This Row],[Emp ID]],Employee[],2,FALSE)</f>
        <v>Jill Saab</v>
      </c>
      <c r="J570" t="str">
        <f>VLOOKUP(Call_Center_Data[[#This Row],[Emp ID]], Employee[], 3, FALSE)</f>
        <v>Spokane, WA</v>
      </c>
      <c r="K570" t="str">
        <f>VLOOKUP(Call_Center_Data[[#This Row],[Emp ID]], Employee[], 4, FALSE)</f>
        <v>Timmy Gill</v>
      </c>
      <c r="L570" t="str">
        <f>VLOOKUP(Call_Center_Data[[#This Row],[Call Type ID]], Call_Type[], 2, FALSE)</f>
        <v>Sales</v>
      </c>
    </row>
    <row r="571" spans="1:12" x14ac:dyDescent="0.3">
      <c r="A571">
        <v>570</v>
      </c>
      <c r="B571">
        <v>2</v>
      </c>
      <c r="C571" s="1">
        <v>45164</v>
      </c>
      <c r="D571" s="2" t="s">
        <v>81</v>
      </c>
      <c r="E571">
        <v>1</v>
      </c>
      <c r="F571">
        <v>40</v>
      </c>
      <c r="G571">
        <v>150</v>
      </c>
      <c r="H571">
        <v>549</v>
      </c>
      <c r="I571" t="str">
        <f>VLOOKUP(Call_Center_Data[[#This Row],[Emp ID]],Employee[],2,FALSE)</f>
        <v>Sam Simons</v>
      </c>
      <c r="J571" t="str">
        <f>VLOOKUP(Call_Center_Data[[#This Row],[Emp ID]], Employee[], 3, FALSE)</f>
        <v>Jacksonville, WA</v>
      </c>
      <c r="K571" t="str">
        <f>VLOOKUP(Call_Center_Data[[#This Row],[Emp ID]], Employee[], 4, FALSE)</f>
        <v>John Baas</v>
      </c>
      <c r="L571" t="str">
        <f>VLOOKUP(Call_Center_Data[[#This Row],[Call Type ID]], Call_Type[], 2, FALSE)</f>
        <v>Sales</v>
      </c>
    </row>
    <row r="572" spans="1:12" x14ac:dyDescent="0.3">
      <c r="A572">
        <v>571</v>
      </c>
      <c r="B572">
        <v>2</v>
      </c>
      <c r="C572" s="1">
        <v>45165</v>
      </c>
      <c r="D572" s="2" t="s">
        <v>85</v>
      </c>
      <c r="E572">
        <v>1</v>
      </c>
      <c r="F572">
        <v>25</v>
      </c>
      <c r="G572">
        <v>168</v>
      </c>
      <c r="H572">
        <v>220</v>
      </c>
      <c r="I572" t="str">
        <f>VLOOKUP(Call_Center_Data[[#This Row],[Emp ID]],Employee[],2,FALSE)</f>
        <v>Tina Gilder</v>
      </c>
      <c r="J572" t="str">
        <f>VLOOKUP(Call_Center_Data[[#This Row],[Emp ID]], Employee[], 3, FALSE)</f>
        <v>Spokane, WA</v>
      </c>
      <c r="K572" t="str">
        <f>VLOOKUP(Call_Center_Data[[#This Row],[Emp ID]], Employee[], 4, FALSE)</f>
        <v>Timmy Baas</v>
      </c>
      <c r="L572" t="str">
        <f>VLOOKUP(Call_Center_Data[[#This Row],[Call Type ID]], Call_Type[], 2, FALSE)</f>
        <v>Sales</v>
      </c>
    </row>
    <row r="573" spans="1:12" x14ac:dyDescent="0.3">
      <c r="A573">
        <v>572</v>
      </c>
      <c r="B573">
        <v>3</v>
      </c>
      <c r="C573" s="1">
        <v>45166</v>
      </c>
      <c r="D573" s="2" t="s">
        <v>78</v>
      </c>
      <c r="E573">
        <v>0</v>
      </c>
      <c r="F573">
        <v>55</v>
      </c>
      <c r="G573">
        <v>241</v>
      </c>
      <c r="H573">
        <v>346</v>
      </c>
      <c r="I573" t="str">
        <f>VLOOKUP(Call_Center_Data[[#This Row],[Emp ID]],Employee[],2,FALSE)</f>
        <v>Jill Saab</v>
      </c>
      <c r="J573" t="str">
        <f>VLOOKUP(Call_Center_Data[[#This Row],[Emp ID]], Employee[], 3, FALSE)</f>
        <v>Spokane, WA</v>
      </c>
      <c r="K573" t="str">
        <f>VLOOKUP(Call_Center_Data[[#This Row],[Emp ID]], Employee[], 4, FALSE)</f>
        <v>Timmy Gill</v>
      </c>
      <c r="L573" t="str">
        <f>VLOOKUP(Call_Center_Data[[#This Row],[Call Type ID]], Call_Type[], 2, FALSE)</f>
        <v>Tech Sup</v>
      </c>
    </row>
    <row r="574" spans="1:12" x14ac:dyDescent="0.3">
      <c r="A574">
        <v>573</v>
      </c>
      <c r="B574">
        <v>1</v>
      </c>
      <c r="C574" s="1">
        <v>45167</v>
      </c>
      <c r="D574" s="2" t="s">
        <v>80</v>
      </c>
      <c r="E574">
        <v>0</v>
      </c>
      <c r="F574">
        <v>55</v>
      </c>
      <c r="G574">
        <v>169</v>
      </c>
      <c r="H574">
        <v>446</v>
      </c>
      <c r="I574" t="str">
        <f>VLOOKUP(Call_Center_Data[[#This Row],[Emp ID]],Employee[],2,FALSE)</f>
        <v>Tina Simons</v>
      </c>
      <c r="J574" t="str">
        <f>VLOOKUP(Call_Center_Data[[#This Row],[Emp ID]], Employee[], 3, FALSE)</f>
        <v>Aurora, CO</v>
      </c>
      <c r="K574" t="str">
        <f>VLOOKUP(Call_Center_Data[[#This Row],[Emp ID]], Employee[], 4, FALSE)</f>
        <v>Pierce Gill</v>
      </c>
      <c r="L574" t="str">
        <f>VLOOKUP(Call_Center_Data[[#This Row],[Call Type ID]], Call_Type[], 2, FALSE)</f>
        <v>Billing</v>
      </c>
    </row>
    <row r="575" spans="1:12" x14ac:dyDescent="0.3">
      <c r="A575">
        <v>574</v>
      </c>
      <c r="B575">
        <v>2</v>
      </c>
      <c r="C575" s="1">
        <v>45168</v>
      </c>
      <c r="D575" s="2" t="s">
        <v>86</v>
      </c>
      <c r="E575">
        <v>0</v>
      </c>
      <c r="F575">
        <v>25</v>
      </c>
      <c r="G575">
        <v>162</v>
      </c>
      <c r="H575">
        <v>220</v>
      </c>
      <c r="I575" t="str">
        <f>VLOOKUP(Call_Center_Data[[#This Row],[Emp ID]],Employee[],2,FALSE)</f>
        <v>Jill Gilder</v>
      </c>
      <c r="J575" t="str">
        <f>VLOOKUP(Call_Center_Data[[#This Row],[Emp ID]], Employee[], 3, FALSE)</f>
        <v>Aurora, CO</v>
      </c>
      <c r="K575" t="str">
        <f>VLOOKUP(Call_Center_Data[[#This Row],[Emp ID]], Employee[], 4, FALSE)</f>
        <v>Jenny Baas</v>
      </c>
      <c r="L575" t="str">
        <f>VLOOKUP(Call_Center_Data[[#This Row],[Call Type ID]], Call_Type[], 2, FALSE)</f>
        <v>Sales</v>
      </c>
    </row>
    <row r="576" spans="1:12" x14ac:dyDescent="0.3">
      <c r="A576">
        <v>575</v>
      </c>
      <c r="B576">
        <v>3</v>
      </c>
      <c r="C576" s="1">
        <v>45169</v>
      </c>
      <c r="D576" s="2" t="s">
        <v>75</v>
      </c>
      <c r="E576">
        <v>0</v>
      </c>
      <c r="F576">
        <v>20</v>
      </c>
      <c r="G576">
        <v>179</v>
      </c>
      <c r="H576">
        <v>201</v>
      </c>
      <c r="I576" t="str">
        <f>VLOOKUP(Call_Center_Data[[#This Row],[Emp ID]],Employee[],2,FALSE)</f>
        <v>Gina Pat</v>
      </c>
      <c r="J576" t="str">
        <f>VLOOKUP(Call_Center_Data[[#This Row],[Emp ID]], Employee[], 3, FALSE)</f>
        <v>Spokane, WA</v>
      </c>
      <c r="K576" t="str">
        <f>VLOOKUP(Call_Center_Data[[#This Row],[Emp ID]], Employee[], 4, FALSE)</f>
        <v>Henry Hall</v>
      </c>
      <c r="L576" t="str">
        <f>VLOOKUP(Call_Center_Data[[#This Row],[Call Type ID]], Call_Type[], 2, FALSE)</f>
        <v>Tech Sup</v>
      </c>
    </row>
    <row r="577" spans="1:12" x14ac:dyDescent="0.3">
      <c r="A577">
        <v>576</v>
      </c>
      <c r="B577">
        <v>2</v>
      </c>
      <c r="C577" s="1">
        <v>45170</v>
      </c>
      <c r="D577" s="2" t="s">
        <v>72</v>
      </c>
      <c r="E577">
        <v>0</v>
      </c>
      <c r="F577">
        <v>15</v>
      </c>
      <c r="G577">
        <v>176</v>
      </c>
      <c r="H577">
        <v>496</v>
      </c>
      <c r="I577" t="str">
        <f>VLOOKUP(Call_Center_Data[[#This Row],[Emp ID]],Employee[],2,FALSE)</f>
        <v>Ultor Pat</v>
      </c>
      <c r="J577" t="str">
        <f>VLOOKUP(Call_Center_Data[[#This Row],[Emp ID]], Employee[], 3, FALSE)</f>
        <v>Jacksonville, WA</v>
      </c>
      <c r="K577" t="str">
        <f>VLOOKUP(Call_Center_Data[[#This Row],[Emp ID]], Employee[], 4, FALSE)</f>
        <v>Jenny Hall</v>
      </c>
      <c r="L577" t="str">
        <f>VLOOKUP(Call_Center_Data[[#This Row],[Call Type ID]], Call_Type[], 2, FALSE)</f>
        <v>Sales</v>
      </c>
    </row>
    <row r="578" spans="1:12" x14ac:dyDescent="0.3">
      <c r="A578">
        <v>577</v>
      </c>
      <c r="B578">
        <v>1</v>
      </c>
      <c r="C578" s="1">
        <v>45171</v>
      </c>
      <c r="D578" s="2" t="s">
        <v>67</v>
      </c>
      <c r="E578">
        <v>1</v>
      </c>
      <c r="F578">
        <v>23</v>
      </c>
      <c r="G578">
        <v>164</v>
      </c>
      <c r="H578">
        <v>257</v>
      </c>
      <c r="I578" t="str">
        <f>VLOOKUP(Call_Center_Data[[#This Row],[Emp ID]],Employee[],2,FALSE)</f>
        <v>Tina Pat</v>
      </c>
      <c r="J578" t="str">
        <f>VLOOKUP(Call_Center_Data[[#This Row],[Emp ID]], Employee[], 3, FALSE)</f>
        <v>Jacksonville, WA</v>
      </c>
      <c r="K578" t="str">
        <f>VLOOKUP(Call_Center_Data[[#This Row],[Emp ID]], Employee[], 4, FALSE)</f>
        <v>John Hall</v>
      </c>
      <c r="L578" t="str">
        <f>VLOOKUP(Call_Center_Data[[#This Row],[Call Type ID]], Call_Type[], 2, FALSE)</f>
        <v>Billing</v>
      </c>
    </row>
    <row r="579" spans="1:12" x14ac:dyDescent="0.3">
      <c r="A579">
        <v>578</v>
      </c>
      <c r="B579">
        <v>1</v>
      </c>
      <c r="C579" s="1">
        <v>45172</v>
      </c>
      <c r="D579" s="2" t="s">
        <v>73</v>
      </c>
      <c r="E579">
        <v>0</v>
      </c>
      <c r="F579">
        <v>10</v>
      </c>
      <c r="G579">
        <v>160</v>
      </c>
      <c r="H579">
        <v>111</v>
      </c>
      <c r="I579" t="str">
        <f>VLOOKUP(Call_Center_Data[[#This Row],[Emp ID]],Employee[],2,FALSE)</f>
        <v>Jill John</v>
      </c>
      <c r="J579" t="str">
        <f>VLOOKUP(Call_Center_Data[[#This Row],[Emp ID]], Employee[], 3, FALSE)</f>
        <v>Spokane, WA</v>
      </c>
      <c r="K579" t="str">
        <f>VLOOKUP(Call_Center_Data[[#This Row],[Emp ID]], Employee[], 4, FALSE)</f>
        <v>John Gill</v>
      </c>
      <c r="L579" t="str">
        <f>VLOOKUP(Call_Center_Data[[#This Row],[Call Type ID]], Call_Type[], 2, FALSE)</f>
        <v>Billing</v>
      </c>
    </row>
    <row r="580" spans="1:12" x14ac:dyDescent="0.3">
      <c r="A580">
        <v>579</v>
      </c>
      <c r="B580">
        <v>3</v>
      </c>
      <c r="C580" s="1">
        <v>45173</v>
      </c>
      <c r="D580" s="2" t="s">
        <v>78</v>
      </c>
      <c r="E580">
        <v>1</v>
      </c>
      <c r="F580">
        <v>5</v>
      </c>
      <c r="G580">
        <v>168</v>
      </c>
      <c r="H580">
        <v>19</v>
      </c>
      <c r="I580" t="str">
        <f>VLOOKUP(Call_Center_Data[[#This Row],[Emp ID]],Employee[],2,FALSE)</f>
        <v>Jill Saab</v>
      </c>
      <c r="J580" t="str">
        <f>VLOOKUP(Call_Center_Data[[#This Row],[Emp ID]], Employee[], 3, FALSE)</f>
        <v>Spokane, WA</v>
      </c>
      <c r="K580" t="str">
        <f>VLOOKUP(Call_Center_Data[[#This Row],[Emp ID]], Employee[], 4, FALSE)</f>
        <v>Timmy Gill</v>
      </c>
      <c r="L580" t="str">
        <f>VLOOKUP(Call_Center_Data[[#This Row],[Call Type ID]], Call_Type[], 2, FALSE)</f>
        <v>Tech Sup</v>
      </c>
    </row>
    <row r="581" spans="1:12" x14ac:dyDescent="0.3">
      <c r="A581">
        <v>580</v>
      </c>
      <c r="B581">
        <v>1</v>
      </c>
      <c r="C581" s="1">
        <v>45174</v>
      </c>
      <c r="D581" s="2" t="s">
        <v>86</v>
      </c>
      <c r="E581">
        <v>0</v>
      </c>
      <c r="F581">
        <v>19</v>
      </c>
      <c r="G581">
        <v>158</v>
      </c>
      <c r="H581">
        <v>188</v>
      </c>
      <c r="I581" t="str">
        <f>VLOOKUP(Call_Center_Data[[#This Row],[Emp ID]],Employee[],2,FALSE)</f>
        <v>Jill Gilder</v>
      </c>
      <c r="J581" t="str">
        <f>VLOOKUP(Call_Center_Data[[#This Row],[Emp ID]], Employee[], 3, FALSE)</f>
        <v>Aurora, CO</v>
      </c>
      <c r="K581" t="str">
        <f>VLOOKUP(Call_Center_Data[[#This Row],[Emp ID]], Employee[], 4, FALSE)</f>
        <v>Jenny Baas</v>
      </c>
      <c r="L581" t="str">
        <f>VLOOKUP(Call_Center_Data[[#This Row],[Call Type ID]], Call_Type[], 2, FALSE)</f>
        <v>Billing</v>
      </c>
    </row>
    <row r="582" spans="1:12" x14ac:dyDescent="0.3">
      <c r="A582">
        <v>581</v>
      </c>
      <c r="B582">
        <v>2</v>
      </c>
      <c r="C582" s="1">
        <v>45175</v>
      </c>
      <c r="D582" s="2" t="s">
        <v>86</v>
      </c>
      <c r="E582">
        <v>0</v>
      </c>
      <c r="F582">
        <v>11</v>
      </c>
      <c r="G582">
        <v>143</v>
      </c>
      <c r="H582">
        <v>388</v>
      </c>
      <c r="I582" t="str">
        <f>VLOOKUP(Call_Center_Data[[#This Row],[Emp ID]],Employee[],2,FALSE)</f>
        <v>Jill Gilder</v>
      </c>
      <c r="J582" t="str">
        <f>VLOOKUP(Call_Center_Data[[#This Row],[Emp ID]], Employee[], 3, FALSE)</f>
        <v>Aurora, CO</v>
      </c>
      <c r="K582" t="str">
        <f>VLOOKUP(Call_Center_Data[[#This Row],[Emp ID]], Employee[], 4, FALSE)</f>
        <v>Jenny Baas</v>
      </c>
      <c r="L582" t="str">
        <f>VLOOKUP(Call_Center_Data[[#This Row],[Call Type ID]], Call_Type[], 2, FALSE)</f>
        <v>Sales</v>
      </c>
    </row>
    <row r="583" spans="1:12" x14ac:dyDescent="0.3">
      <c r="A583">
        <v>582</v>
      </c>
      <c r="B583">
        <v>3</v>
      </c>
      <c r="C583" s="1">
        <v>45176</v>
      </c>
      <c r="D583" s="2" t="s">
        <v>85</v>
      </c>
      <c r="E583">
        <v>0</v>
      </c>
      <c r="F583">
        <v>5</v>
      </c>
      <c r="G583">
        <v>160</v>
      </c>
      <c r="H583">
        <v>58</v>
      </c>
      <c r="I583" t="str">
        <f>VLOOKUP(Call_Center_Data[[#This Row],[Emp ID]],Employee[],2,FALSE)</f>
        <v>Tina Gilder</v>
      </c>
      <c r="J583" t="str">
        <f>VLOOKUP(Call_Center_Data[[#This Row],[Emp ID]], Employee[], 3, FALSE)</f>
        <v>Spokane, WA</v>
      </c>
      <c r="K583" t="str">
        <f>VLOOKUP(Call_Center_Data[[#This Row],[Emp ID]], Employee[], 4, FALSE)</f>
        <v>Timmy Baas</v>
      </c>
      <c r="L583" t="str">
        <f>VLOOKUP(Call_Center_Data[[#This Row],[Call Type ID]], Call_Type[], 2, FALSE)</f>
        <v>Tech Sup</v>
      </c>
    </row>
    <row r="584" spans="1:12" x14ac:dyDescent="0.3">
      <c r="A584">
        <v>583</v>
      </c>
      <c r="B584">
        <v>2</v>
      </c>
      <c r="C584" s="1">
        <v>45177</v>
      </c>
      <c r="D584" s="2" t="s">
        <v>76</v>
      </c>
      <c r="E584">
        <v>1</v>
      </c>
      <c r="F584">
        <v>16</v>
      </c>
      <c r="G584">
        <v>161</v>
      </c>
      <c r="H584">
        <v>399</v>
      </c>
      <c r="I584" t="str">
        <f>VLOOKUP(Call_Center_Data[[#This Row],[Emp ID]],Employee[],2,FALSE)</f>
        <v>Ultor Saab</v>
      </c>
      <c r="J584" t="str">
        <f>VLOOKUP(Call_Center_Data[[#This Row],[Emp ID]], Employee[], 3, FALSE)</f>
        <v>Aurora, CO</v>
      </c>
      <c r="K584" t="str">
        <f>VLOOKUP(Call_Center_Data[[#This Row],[Emp ID]], Employee[], 4, FALSE)</f>
        <v>Pierce Baas</v>
      </c>
      <c r="L584" t="str">
        <f>VLOOKUP(Call_Center_Data[[#This Row],[Call Type ID]], Call_Type[], 2, FALSE)</f>
        <v>Sales</v>
      </c>
    </row>
    <row r="585" spans="1:12" x14ac:dyDescent="0.3">
      <c r="A585">
        <v>584</v>
      </c>
      <c r="B585">
        <v>3</v>
      </c>
      <c r="C585" s="1">
        <v>45178</v>
      </c>
      <c r="D585" s="2" t="s">
        <v>70</v>
      </c>
      <c r="E585">
        <v>0</v>
      </c>
      <c r="F585">
        <v>5</v>
      </c>
      <c r="G585">
        <v>147</v>
      </c>
      <c r="H585">
        <v>110</v>
      </c>
      <c r="I585" t="str">
        <f>VLOOKUP(Call_Center_Data[[#This Row],[Emp ID]],Employee[],2,FALSE)</f>
        <v>Jill Pat</v>
      </c>
      <c r="J585" t="str">
        <f>VLOOKUP(Call_Center_Data[[#This Row],[Emp ID]], Employee[], 3, FALSE)</f>
        <v>Aurora, CO</v>
      </c>
      <c r="K585" t="str">
        <f>VLOOKUP(Call_Center_Data[[#This Row],[Emp ID]], Employee[], 4, FALSE)</f>
        <v>Henry Rhodes</v>
      </c>
      <c r="L585" t="str">
        <f>VLOOKUP(Call_Center_Data[[#This Row],[Call Type ID]], Call_Type[], 2, FALSE)</f>
        <v>Tech Sup</v>
      </c>
    </row>
    <row r="586" spans="1:12" x14ac:dyDescent="0.3">
      <c r="A586">
        <v>585</v>
      </c>
      <c r="B586">
        <v>3</v>
      </c>
      <c r="C586" s="1">
        <v>45179</v>
      </c>
      <c r="D586" s="2" t="s">
        <v>75</v>
      </c>
      <c r="E586">
        <v>1</v>
      </c>
      <c r="F586">
        <v>4</v>
      </c>
      <c r="G586">
        <v>146</v>
      </c>
      <c r="H586">
        <v>113</v>
      </c>
      <c r="I586" t="str">
        <f>VLOOKUP(Call_Center_Data[[#This Row],[Emp ID]],Employee[],2,FALSE)</f>
        <v>Gina Pat</v>
      </c>
      <c r="J586" t="str">
        <f>VLOOKUP(Call_Center_Data[[#This Row],[Emp ID]], Employee[], 3, FALSE)</f>
        <v>Spokane, WA</v>
      </c>
      <c r="K586" t="str">
        <f>VLOOKUP(Call_Center_Data[[#This Row],[Emp ID]], Employee[], 4, FALSE)</f>
        <v>Henry Hall</v>
      </c>
      <c r="L586" t="str">
        <f>VLOOKUP(Call_Center_Data[[#This Row],[Call Type ID]], Call_Type[], 2, FALSE)</f>
        <v>Tech Sup</v>
      </c>
    </row>
    <row r="587" spans="1:12" x14ac:dyDescent="0.3">
      <c r="A587">
        <v>586</v>
      </c>
      <c r="B587">
        <v>1</v>
      </c>
      <c r="C587" s="1">
        <v>45180</v>
      </c>
      <c r="D587" s="2" t="s">
        <v>81</v>
      </c>
      <c r="E587">
        <v>0</v>
      </c>
      <c r="F587">
        <v>4</v>
      </c>
      <c r="G587">
        <v>195</v>
      </c>
      <c r="H587">
        <v>55</v>
      </c>
      <c r="I587" t="str">
        <f>VLOOKUP(Call_Center_Data[[#This Row],[Emp ID]],Employee[],2,FALSE)</f>
        <v>Sam Simons</v>
      </c>
      <c r="J587" t="str">
        <f>VLOOKUP(Call_Center_Data[[#This Row],[Emp ID]], Employee[], 3, FALSE)</f>
        <v>Jacksonville, WA</v>
      </c>
      <c r="K587" t="str">
        <f>VLOOKUP(Call_Center_Data[[#This Row],[Emp ID]], Employee[], 4, FALSE)</f>
        <v>John Baas</v>
      </c>
      <c r="L587" t="str">
        <f>VLOOKUP(Call_Center_Data[[#This Row],[Call Type ID]], Call_Type[], 2, FALSE)</f>
        <v>Billing</v>
      </c>
    </row>
    <row r="588" spans="1:12" x14ac:dyDescent="0.3">
      <c r="A588">
        <v>587</v>
      </c>
      <c r="B588">
        <v>1</v>
      </c>
      <c r="C588" s="1">
        <v>45181</v>
      </c>
      <c r="D588" s="2" t="s">
        <v>77</v>
      </c>
      <c r="E588">
        <v>0</v>
      </c>
      <c r="F588">
        <v>6</v>
      </c>
      <c r="G588">
        <v>155</v>
      </c>
      <c r="H588">
        <v>220</v>
      </c>
      <c r="I588" t="str">
        <f>VLOOKUP(Call_Center_Data[[#This Row],[Emp ID]],Employee[],2,FALSE)</f>
        <v>Sam Saab</v>
      </c>
      <c r="J588" t="str">
        <f>VLOOKUP(Call_Center_Data[[#This Row],[Emp ID]], Employee[], 3, FALSE)</f>
        <v>Aurora, CO</v>
      </c>
      <c r="K588" t="str">
        <f>VLOOKUP(Call_Center_Data[[#This Row],[Emp ID]], Employee[], 4, FALSE)</f>
        <v>Timmy Mack</v>
      </c>
      <c r="L588" t="str">
        <f>VLOOKUP(Call_Center_Data[[#This Row],[Call Type ID]], Call_Type[], 2, FALSE)</f>
        <v>Billing</v>
      </c>
    </row>
    <row r="589" spans="1:12" x14ac:dyDescent="0.3">
      <c r="A589">
        <v>588</v>
      </c>
      <c r="B589">
        <v>1</v>
      </c>
      <c r="C589" s="1">
        <v>45182</v>
      </c>
      <c r="D589" s="2" t="s">
        <v>88</v>
      </c>
      <c r="E589">
        <v>1</v>
      </c>
      <c r="F589">
        <v>26</v>
      </c>
      <c r="G589">
        <v>140</v>
      </c>
      <c r="H589">
        <v>289</v>
      </c>
      <c r="I589" t="str">
        <f>VLOOKUP(Call_Center_Data[[#This Row],[Emp ID]],Employee[],2,FALSE)</f>
        <v>Gina Gilder</v>
      </c>
      <c r="J589" t="str">
        <f>VLOOKUP(Call_Center_Data[[#This Row],[Emp ID]], Employee[], 3, FALSE)</f>
        <v>Jacksonville, WA</v>
      </c>
      <c r="K589" t="str">
        <f>VLOOKUP(Call_Center_Data[[#This Row],[Emp ID]], Employee[], 4, FALSE)</f>
        <v>Pierce Rhodes</v>
      </c>
      <c r="L589" t="str">
        <f>VLOOKUP(Call_Center_Data[[#This Row],[Call Type ID]], Call_Type[], 2, FALSE)</f>
        <v>Billing</v>
      </c>
    </row>
    <row r="590" spans="1:12" x14ac:dyDescent="0.3">
      <c r="A590">
        <v>589</v>
      </c>
      <c r="B590">
        <v>2</v>
      </c>
      <c r="C590" s="1">
        <v>45183</v>
      </c>
      <c r="D590" s="2" t="s">
        <v>68</v>
      </c>
      <c r="E590">
        <v>1</v>
      </c>
      <c r="F590">
        <v>6</v>
      </c>
      <c r="G590">
        <v>149</v>
      </c>
      <c r="H590">
        <v>110</v>
      </c>
      <c r="I590" t="str">
        <f>VLOOKUP(Call_Center_Data[[#This Row],[Emp ID]],Employee[],2,FALSE)</f>
        <v>Tina Saab</v>
      </c>
      <c r="J590" t="str">
        <f>VLOOKUP(Call_Center_Data[[#This Row],[Emp ID]], Employee[], 3, FALSE)</f>
        <v>Spokane, WA</v>
      </c>
      <c r="K590" t="str">
        <f>VLOOKUP(Call_Center_Data[[#This Row],[Emp ID]], Employee[], 4, FALSE)</f>
        <v>Henry Baas</v>
      </c>
      <c r="L590" t="str">
        <f>VLOOKUP(Call_Center_Data[[#This Row],[Call Type ID]], Call_Type[], 2, FALSE)</f>
        <v>Sales</v>
      </c>
    </row>
    <row r="591" spans="1:12" x14ac:dyDescent="0.3">
      <c r="A591">
        <v>590</v>
      </c>
      <c r="B591">
        <v>3</v>
      </c>
      <c r="C591" s="1">
        <v>45184</v>
      </c>
      <c r="D591" s="2" t="s">
        <v>81</v>
      </c>
      <c r="E591">
        <v>1</v>
      </c>
      <c r="F591">
        <v>13</v>
      </c>
      <c r="G591">
        <v>156</v>
      </c>
      <c r="H591">
        <v>161</v>
      </c>
      <c r="I591" t="str">
        <f>VLOOKUP(Call_Center_Data[[#This Row],[Emp ID]],Employee[],2,FALSE)</f>
        <v>Sam Simons</v>
      </c>
      <c r="J591" t="str">
        <f>VLOOKUP(Call_Center_Data[[#This Row],[Emp ID]], Employee[], 3, FALSE)</f>
        <v>Jacksonville, WA</v>
      </c>
      <c r="K591" t="str">
        <f>VLOOKUP(Call_Center_Data[[#This Row],[Emp ID]], Employee[], 4, FALSE)</f>
        <v>John Baas</v>
      </c>
      <c r="L591" t="str">
        <f>VLOOKUP(Call_Center_Data[[#This Row],[Call Type ID]], Call_Type[], 2, FALSE)</f>
        <v>Tech Sup</v>
      </c>
    </row>
    <row r="592" spans="1:12" x14ac:dyDescent="0.3">
      <c r="A592">
        <v>591</v>
      </c>
      <c r="B592">
        <v>2</v>
      </c>
      <c r="C592" s="1">
        <v>45185</v>
      </c>
      <c r="D592" s="2" t="s">
        <v>67</v>
      </c>
      <c r="E592">
        <v>1</v>
      </c>
      <c r="F592">
        <v>5</v>
      </c>
      <c r="G592">
        <v>146</v>
      </c>
      <c r="H592">
        <v>116</v>
      </c>
      <c r="I592" t="str">
        <f>VLOOKUP(Call_Center_Data[[#This Row],[Emp ID]],Employee[],2,FALSE)</f>
        <v>Tina Pat</v>
      </c>
      <c r="J592" t="str">
        <f>VLOOKUP(Call_Center_Data[[#This Row],[Emp ID]], Employee[], 3, FALSE)</f>
        <v>Jacksonville, WA</v>
      </c>
      <c r="K592" t="str">
        <f>VLOOKUP(Call_Center_Data[[#This Row],[Emp ID]], Employee[], 4, FALSE)</f>
        <v>John Hall</v>
      </c>
      <c r="L592" t="str">
        <f>VLOOKUP(Call_Center_Data[[#This Row],[Call Type ID]], Call_Type[], 2, FALSE)</f>
        <v>Sales</v>
      </c>
    </row>
    <row r="593" spans="1:12" x14ac:dyDescent="0.3">
      <c r="A593">
        <v>592</v>
      </c>
      <c r="B593">
        <v>1</v>
      </c>
      <c r="C593" s="1">
        <v>45186</v>
      </c>
      <c r="D593" s="2" t="s">
        <v>70</v>
      </c>
      <c r="E593">
        <v>1</v>
      </c>
      <c r="F593">
        <v>6</v>
      </c>
      <c r="G593">
        <v>148</v>
      </c>
      <c r="H593">
        <v>110</v>
      </c>
      <c r="I593" t="str">
        <f>VLOOKUP(Call_Center_Data[[#This Row],[Emp ID]],Employee[],2,FALSE)</f>
        <v>Jill Pat</v>
      </c>
      <c r="J593" t="str">
        <f>VLOOKUP(Call_Center_Data[[#This Row],[Emp ID]], Employee[], 3, FALSE)</f>
        <v>Aurora, CO</v>
      </c>
      <c r="K593" t="str">
        <f>VLOOKUP(Call_Center_Data[[#This Row],[Emp ID]], Employee[], 4, FALSE)</f>
        <v>Henry Rhodes</v>
      </c>
      <c r="L593" t="str">
        <f>VLOOKUP(Call_Center_Data[[#This Row],[Call Type ID]], Call_Type[], 2, FALSE)</f>
        <v>Billing</v>
      </c>
    </row>
    <row r="594" spans="1:12" x14ac:dyDescent="0.3">
      <c r="A594">
        <v>593</v>
      </c>
      <c r="B594">
        <v>2</v>
      </c>
      <c r="C594" s="1">
        <v>45187</v>
      </c>
      <c r="D594" s="2" t="s">
        <v>67</v>
      </c>
      <c r="E594">
        <v>0</v>
      </c>
      <c r="F594">
        <v>8</v>
      </c>
      <c r="G594">
        <v>175</v>
      </c>
      <c r="H594">
        <v>59</v>
      </c>
      <c r="I594" t="str">
        <f>VLOOKUP(Call_Center_Data[[#This Row],[Emp ID]],Employee[],2,FALSE)</f>
        <v>Tina Pat</v>
      </c>
      <c r="J594" t="str">
        <f>VLOOKUP(Call_Center_Data[[#This Row],[Emp ID]], Employee[], 3, FALSE)</f>
        <v>Jacksonville, WA</v>
      </c>
      <c r="K594" t="str">
        <f>VLOOKUP(Call_Center_Data[[#This Row],[Emp ID]], Employee[], 4, FALSE)</f>
        <v>John Hall</v>
      </c>
      <c r="L594" t="str">
        <f>VLOOKUP(Call_Center_Data[[#This Row],[Call Type ID]], Call_Type[], 2, FALSE)</f>
        <v>Sales</v>
      </c>
    </row>
    <row r="595" spans="1:12" x14ac:dyDescent="0.3">
      <c r="A595">
        <v>594</v>
      </c>
      <c r="B595">
        <v>3</v>
      </c>
      <c r="C595" s="1">
        <v>45188</v>
      </c>
      <c r="D595" s="2" t="s">
        <v>66</v>
      </c>
      <c r="E595">
        <v>1</v>
      </c>
      <c r="F595">
        <v>8</v>
      </c>
      <c r="G595">
        <v>153</v>
      </c>
      <c r="H595">
        <v>78</v>
      </c>
      <c r="I595" t="str">
        <f>VLOOKUP(Call_Center_Data[[#This Row],[Emp ID]],Employee[],2,FALSE)</f>
        <v>Tina John</v>
      </c>
      <c r="J595" t="str">
        <f>VLOOKUP(Call_Center_Data[[#This Row],[Emp ID]], Employee[], 3, FALSE)</f>
        <v>Aurora, CO</v>
      </c>
      <c r="K595" t="str">
        <f>VLOOKUP(Call_Center_Data[[#This Row],[Emp ID]], Employee[], 4, FALSE)</f>
        <v>Timmy Rhodes</v>
      </c>
      <c r="L595" t="str">
        <f>VLOOKUP(Call_Center_Data[[#This Row],[Call Type ID]], Call_Type[], 2, FALSE)</f>
        <v>Tech Sup</v>
      </c>
    </row>
    <row r="596" spans="1:12" x14ac:dyDescent="0.3">
      <c r="A596">
        <v>595</v>
      </c>
      <c r="B596">
        <v>1</v>
      </c>
      <c r="C596" s="1">
        <v>45189</v>
      </c>
      <c r="D596" s="2" t="s">
        <v>88</v>
      </c>
      <c r="E596">
        <v>1</v>
      </c>
      <c r="F596">
        <v>13</v>
      </c>
      <c r="G596">
        <v>158</v>
      </c>
      <c r="H596">
        <v>220</v>
      </c>
      <c r="I596" t="str">
        <f>VLOOKUP(Call_Center_Data[[#This Row],[Emp ID]],Employee[],2,FALSE)</f>
        <v>Gina Gilder</v>
      </c>
      <c r="J596" t="str">
        <f>VLOOKUP(Call_Center_Data[[#This Row],[Emp ID]], Employee[], 3, FALSE)</f>
        <v>Jacksonville, WA</v>
      </c>
      <c r="K596" t="str">
        <f>VLOOKUP(Call_Center_Data[[#This Row],[Emp ID]], Employee[], 4, FALSE)</f>
        <v>Pierce Rhodes</v>
      </c>
      <c r="L596" t="str">
        <f>VLOOKUP(Call_Center_Data[[#This Row],[Call Type ID]], Call_Type[], 2, FALSE)</f>
        <v>Billing</v>
      </c>
    </row>
    <row r="597" spans="1:12" x14ac:dyDescent="0.3">
      <c r="A597">
        <v>596</v>
      </c>
      <c r="B597">
        <v>2</v>
      </c>
      <c r="C597" s="1">
        <v>45190</v>
      </c>
      <c r="D597" s="2" t="s">
        <v>82</v>
      </c>
      <c r="E597">
        <v>1</v>
      </c>
      <c r="F597">
        <v>4</v>
      </c>
      <c r="G597">
        <v>154</v>
      </c>
      <c r="H597">
        <v>110</v>
      </c>
      <c r="I597" t="str">
        <f>VLOOKUP(Call_Center_Data[[#This Row],[Emp ID]],Employee[],2,FALSE)</f>
        <v>Ultor Gilder</v>
      </c>
      <c r="J597" t="str">
        <f>VLOOKUP(Call_Center_Data[[#This Row],[Emp ID]], Employee[], 3, FALSE)</f>
        <v>Aurora, CO</v>
      </c>
      <c r="K597" t="str">
        <f>VLOOKUP(Call_Center_Data[[#This Row],[Emp ID]], Employee[], 4, FALSE)</f>
        <v>Pierce Mack</v>
      </c>
      <c r="L597" t="str">
        <f>VLOOKUP(Call_Center_Data[[#This Row],[Call Type ID]], Call_Type[], 2, FALSE)</f>
        <v>Sales</v>
      </c>
    </row>
    <row r="598" spans="1:12" x14ac:dyDescent="0.3">
      <c r="A598">
        <v>597</v>
      </c>
      <c r="B598">
        <v>1</v>
      </c>
      <c r="C598" s="1">
        <v>45191</v>
      </c>
      <c r="D598" s="2" t="s">
        <v>82</v>
      </c>
      <c r="E598">
        <v>0</v>
      </c>
      <c r="F598">
        <v>15</v>
      </c>
      <c r="G598">
        <v>193</v>
      </c>
      <c r="H598">
        <v>89</v>
      </c>
      <c r="I598" t="str">
        <f>VLOOKUP(Call_Center_Data[[#This Row],[Emp ID]],Employee[],2,FALSE)</f>
        <v>Ultor Gilder</v>
      </c>
      <c r="J598" t="str">
        <f>VLOOKUP(Call_Center_Data[[#This Row],[Emp ID]], Employee[], 3, FALSE)</f>
        <v>Aurora, CO</v>
      </c>
      <c r="K598" t="str">
        <f>VLOOKUP(Call_Center_Data[[#This Row],[Emp ID]], Employee[], 4, FALSE)</f>
        <v>Pierce Mack</v>
      </c>
      <c r="L598" t="str">
        <f>VLOOKUP(Call_Center_Data[[#This Row],[Call Type ID]], Call_Type[], 2, FALSE)</f>
        <v>Billing</v>
      </c>
    </row>
    <row r="599" spans="1:12" x14ac:dyDescent="0.3">
      <c r="A599">
        <v>598</v>
      </c>
      <c r="B599">
        <v>1</v>
      </c>
      <c r="C599" s="1">
        <v>45192</v>
      </c>
      <c r="D599" s="2" t="s">
        <v>83</v>
      </c>
      <c r="E599">
        <v>1</v>
      </c>
      <c r="F599">
        <v>5</v>
      </c>
      <c r="G599">
        <v>163</v>
      </c>
      <c r="H599">
        <v>165</v>
      </c>
      <c r="I599" t="str">
        <f>VLOOKUP(Call_Center_Data[[#This Row],[Emp ID]],Employee[],2,FALSE)</f>
        <v>Ultor Simons</v>
      </c>
      <c r="J599" t="str">
        <f>VLOOKUP(Call_Center_Data[[#This Row],[Emp ID]], Employee[], 3, FALSE)</f>
        <v>Jacksonville, WA</v>
      </c>
      <c r="K599" t="str">
        <f>VLOOKUP(Call_Center_Data[[#This Row],[Emp ID]], Employee[], 4, FALSE)</f>
        <v>Pierce Hall</v>
      </c>
      <c r="L599" t="str">
        <f>VLOOKUP(Call_Center_Data[[#This Row],[Call Type ID]], Call_Type[], 2, FALSE)</f>
        <v>Billing</v>
      </c>
    </row>
    <row r="600" spans="1:12" x14ac:dyDescent="0.3">
      <c r="A600">
        <v>599</v>
      </c>
      <c r="B600">
        <v>1</v>
      </c>
      <c r="C600" s="1">
        <v>45193</v>
      </c>
      <c r="D600" s="2" t="s">
        <v>69</v>
      </c>
      <c r="E600">
        <v>1</v>
      </c>
      <c r="F600">
        <v>9</v>
      </c>
      <c r="G600">
        <v>170</v>
      </c>
      <c r="H600">
        <v>265</v>
      </c>
      <c r="I600" t="str">
        <f>VLOOKUP(Call_Center_Data[[#This Row],[Emp ID]],Employee[],2,FALSE)</f>
        <v>Sam Gilder</v>
      </c>
      <c r="J600" t="str">
        <f>VLOOKUP(Call_Center_Data[[#This Row],[Emp ID]], Employee[], 3, FALSE)</f>
        <v>Jacksonville, WA</v>
      </c>
      <c r="K600" t="str">
        <f>VLOOKUP(Call_Center_Data[[#This Row],[Emp ID]], Employee[], 4, FALSE)</f>
        <v>Timmy Hall</v>
      </c>
      <c r="L600" t="str">
        <f>VLOOKUP(Call_Center_Data[[#This Row],[Call Type ID]], Call_Type[], 2, FALSE)</f>
        <v>Billing</v>
      </c>
    </row>
    <row r="601" spans="1:12" x14ac:dyDescent="0.3">
      <c r="A601">
        <v>600</v>
      </c>
      <c r="B601">
        <v>2</v>
      </c>
      <c r="C601" s="1">
        <v>45194</v>
      </c>
      <c r="D601" s="2" t="s">
        <v>83</v>
      </c>
      <c r="E601">
        <v>1</v>
      </c>
      <c r="F601">
        <v>14</v>
      </c>
      <c r="G601">
        <v>137</v>
      </c>
      <c r="H601">
        <v>74</v>
      </c>
      <c r="I601" t="str">
        <f>VLOOKUP(Call_Center_Data[[#This Row],[Emp ID]],Employee[],2,FALSE)</f>
        <v>Ultor Simons</v>
      </c>
      <c r="J601" t="str">
        <f>VLOOKUP(Call_Center_Data[[#This Row],[Emp ID]], Employee[], 3, FALSE)</f>
        <v>Jacksonville, WA</v>
      </c>
      <c r="K601" t="str">
        <f>VLOOKUP(Call_Center_Data[[#This Row],[Emp ID]], Employee[], 4, FALSE)</f>
        <v>Pierce Hall</v>
      </c>
      <c r="L601" t="str">
        <f>VLOOKUP(Call_Center_Data[[#This Row],[Call Type ID]], Call_Type[], 2, FALSE)</f>
        <v>Sales</v>
      </c>
    </row>
    <row r="602" spans="1:12" x14ac:dyDescent="0.3">
      <c r="A602">
        <v>601</v>
      </c>
      <c r="B602">
        <v>1</v>
      </c>
      <c r="C602" s="1">
        <v>45195</v>
      </c>
      <c r="D602" s="2" t="s">
        <v>84</v>
      </c>
      <c r="E602">
        <v>1</v>
      </c>
      <c r="F602">
        <v>7</v>
      </c>
      <c r="G602">
        <v>149</v>
      </c>
      <c r="H602">
        <v>58</v>
      </c>
      <c r="I602" t="str">
        <f>VLOOKUP(Call_Center_Data[[#This Row],[Emp ID]],Employee[],2,FALSE)</f>
        <v>Sam John</v>
      </c>
      <c r="J602" t="str">
        <f>VLOOKUP(Call_Center_Data[[#This Row],[Emp ID]], Employee[], 3, FALSE)</f>
        <v>Aurora, CO</v>
      </c>
      <c r="K602" t="str">
        <f>VLOOKUP(Call_Center_Data[[#This Row],[Emp ID]], Employee[], 4, FALSE)</f>
        <v>Jenny Mack</v>
      </c>
      <c r="L602" t="str">
        <f>VLOOKUP(Call_Center_Data[[#This Row],[Call Type ID]], Call_Type[], 2, FALSE)</f>
        <v>Billing</v>
      </c>
    </row>
    <row r="603" spans="1:12" x14ac:dyDescent="0.3">
      <c r="A603">
        <v>602</v>
      </c>
      <c r="B603">
        <v>3</v>
      </c>
      <c r="C603" s="1">
        <v>45196</v>
      </c>
      <c r="D603" s="2" t="s">
        <v>76</v>
      </c>
      <c r="E603">
        <v>1</v>
      </c>
      <c r="F603">
        <v>10</v>
      </c>
      <c r="G603">
        <v>150</v>
      </c>
      <c r="H603">
        <v>123</v>
      </c>
      <c r="I603" t="str">
        <f>VLOOKUP(Call_Center_Data[[#This Row],[Emp ID]],Employee[],2,FALSE)</f>
        <v>Ultor Saab</v>
      </c>
      <c r="J603" t="str">
        <f>VLOOKUP(Call_Center_Data[[#This Row],[Emp ID]], Employee[], 3, FALSE)</f>
        <v>Aurora, CO</v>
      </c>
      <c r="K603" t="str">
        <f>VLOOKUP(Call_Center_Data[[#This Row],[Emp ID]], Employee[], 4, FALSE)</f>
        <v>Pierce Baas</v>
      </c>
      <c r="L603" t="str">
        <f>VLOOKUP(Call_Center_Data[[#This Row],[Call Type ID]], Call_Type[], 2, FALSE)</f>
        <v>Tech Sup</v>
      </c>
    </row>
    <row r="604" spans="1:12" x14ac:dyDescent="0.3">
      <c r="A604">
        <v>603</v>
      </c>
      <c r="B604">
        <v>1</v>
      </c>
      <c r="C604" s="1">
        <v>45197</v>
      </c>
      <c r="D604" s="2" t="s">
        <v>67</v>
      </c>
      <c r="E604">
        <v>0</v>
      </c>
      <c r="F604">
        <v>11</v>
      </c>
      <c r="G604">
        <v>167</v>
      </c>
      <c r="H604">
        <v>113</v>
      </c>
      <c r="I604" t="str">
        <f>VLOOKUP(Call_Center_Data[[#This Row],[Emp ID]],Employee[],2,FALSE)</f>
        <v>Tina Pat</v>
      </c>
      <c r="J604" t="str">
        <f>VLOOKUP(Call_Center_Data[[#This Row],[Emp ID]], Employee[], 3, FALSE)</f>
        <v>Jacksonville, WA</v>
      </c>
      <c r="K604" t="str">
        <f>VLOOKUP(Call_Center_Data[[#This Row],[Emp ID]], Employee[], 4, FALSE)</f>
        <v>John Hall</v>
      </c>
      <c r="L604" t="str">
        <f>VLOOKUP(Call_Center_Data[[#This Row],[Call Type ID]], Call_Type[], 2, FALSE)</f>
        <v>Billing</v>
      </c>
    </row>
    <row r="605" spans="1:12" x14ac:dyDescent="0.3">
      <c r="A605">
        <v>604</v>
      </c>
      <c r="B605">
        <v>3</v>
      </c>
      <c r="C605" s="1">
        <v>45198</v>
      </c>
      <c r="D605" s="2" t="s">
        <v>84</v>
      </c>
      <c r="E605">
        <v>0</v>
      </c>
      <c r="F605">
        <v>19</v>
      </c>
      <c r="G605">
        <v>146</v>
      </c>
      <c r="H605">
        <v>153</v>
      </c>
      <c r="I605" t="str">
        <f>VLOOKUP(Call_Center_Data[[#This Row],[Emp ID]],Employee[],2,FALSE)</f>
        <v>Sam John</v>
      </c>
      <c r="J605" t="str">
        <f>VLOOKUP(Call_Center_Data[[#This Row],[Emp ID]], Employee[], 3, FALSE)</f>
        <v>Aurora, CO</v>
      </c>
      <c r="K605" t="str">
        <f>VLOOKUP(Call_Center_Data[[#This Row],[Emp ID]], Employee[], 4, FALSE)</f>
        <v>Jenny Mack</v>
      </c>
      <c r="L605" t="str">
        <f>VLOOKUP(Call_Center_Data[[#This Row],[Call Type ID]], Call_Type[], 2, FALSE)</f>
        <v>Tech Sup</v>
      </c>
    </row>
    <row r="606" spans="1:12" x14ac:dyDescent="0.3">
      <c r="A606">
        <v>605</v>
      </c>
      <c r="B606">
        <v>2</v>
      </c>
      <c r="C606" s="1">
        <v>45199</v>
      </c>
      <c r="D606" s="2" t="s">
        <v>86</v>
      </c>
      <c r="E606">
        <v>0</v>
      </c>
      <c r="F606">
        <v>9</v>
      </c>
      <c r="G606">
        <v>157</v>
      </c>
      <c r="H606">
        <v>65</v>
      </c>
      <c r="I606" t="str">
        <f>VLOOKUP(Call_Center_Data[[#This Row],[Emp ID]],Employee[],2,FALSE)</f>
        <v>Jill Gilder</v>
      </c>
      <c r="J606" t="str">
        <f>VLOOKUP(Call_Center_Data[[#This Row],[Emp ID]], Employee[], 3, FALSE)</f>
        <v>Aurora, CO</v>
      </c>
      <c r="K606" t="str">
        <f>VLOOKUP(Call_Center_Data[[#This Row],[Emp ID]], Employee[], 4, FALSE)</f>
        <v>Jenny Baas</v>
      </c>
      <c r="L606" t="str">
        <f>VLOOKUP(Call_Center_Data[[#This Row],[Call Type ID]], Call_Type[], 2, FALSE)</f>
        <v>Sales</v>
      </c>
    </row>
    <row r="607" spans="1:12" x14ac:dyDescent="0.3">
      <c r="A607">
        <v>606</v>
      </c>
      <c r="B607">
        <v>3</v>
      </c>
      <c r="C607" s="1">
        <v>45200</v>
      </c>
      <c r="D607" s="2" t="s">
        <v>78</v>
      </c>
      <c r="E607">
        <v>0</v>
      </c>
      <c r="F607">
        <v>7</v>
      </c>
      <c r="G607">
        <v>147</v>
      </c>
      <c r="H607">
        <v>115</v>
      </c>
      <c r="I607" t="str">
        <f>VLOOKUP(Call_Center_Data[[#This Row],[Emp ID]],Employee[],2,FALSE)</f>
        <v>Jill Saab</v>
      </c>
      <c r="J607" t="str">
        <f>VLOOKUP(Call_Center_Data[[#This Row],[Emp ID]], Employee[], 3, FALSE)</f>
        <v>Spokane, WA</v>
      </c>
      <c r="K607" t="str">
        <f>VLOOKUP(Call_Center_Data[[#This Row],[Emp ID]], Employee[], 4, FALSE)</f>
        <v>Timmy Gill</v>
      </c>
      <c r="L607" t="str">
        <f>VLOOKUP(Call_Center_Data[[#This Row],[Call Type ID]], Call_Type[], 2, FALSE)</f>
        <v>Tech Sup</v>
      </c>
    </row>
    <row r="608" spans="1:12" x14ac:dyDescent="0.3">
      <c r="A608">
        <v>607</v>
      </c>
      <c r="B608">
        <v>3</v>
      </c>
      <c r="C608" s="1">
        <v>45201</v>
      </c>
      <c r="D608" s="2" t="s">
        <v>64</v>
      </c>
      <c r="E608">
        <v>0</v>
      </c>
      <c r="F608">
        <v>3</v>
      </c>
      <c r="G608">
        <v>138</v>
      </c>
      <c r="H608">
        <v>3</v>
      </c>
      <c r="I608" t="str">
        <f>VLOOKUP(Call_Center_Data[[#This Row],[Emp ID]],Employee[],2,FALSE)</f>
        <v>Jill Simons</v>
      </c>
      <c r="J608" t="str">
        <f>VLOOKUP(Call_Center_Data[[#This Row],[Emp ID]], Employee[], 3, FALSE)</f>
        <v>Spokane, WA</v>
      </c>
      <c r="K608" t="str">
        <f>VLOOKUP(Call_Center_Data[[#This Row],[Emp ID]], Employee[], 4, FALSE)</f>
        <v>Jenny Rhodes</v>
      </c>
      <c r="L608" t="str">
        <f>VLOOKUP(Call_Center_Data[[#This Row],[Call Type ID]], Call_Type[], 2, FALSE)</f>
        <v>Tech Sup</v>
      </c>
    </row>
    <row r="609" spans="1:12" x14ac:dyDescent="0.3">
      <c r="A609">
        <v>608</v>
      </c>
      <c r="B609">
        <v>3</v>
      </c>
      <c r="C609" s="1">
        <v>45202</v>
      </c>
      <c r="D609" s="2" t="s">
        <v>64</v>
      </c>
      <c r="E609">
        <v>0</v>
      </c>
      <c r="F609">
        <v>8</v>
      </c>
      <c r="G609">
        <v>159</v>
      </c>
      <c r="H609">
        <v>71</v>
      </c>
      <c r="I609" t="str">
        <f>VLOOKUP(Call_Center_Data[[#This Row],[Emp ID]],Employee[],2,FALSE)</f>
        <v>Jill Simons</v>
      </c>
      <c r="J609" t="str">
        <f>VLOOKUP(Call_Center_Data[[#This Row],[Emp ID]], Employee[], 3, FALSE)</f>
        <v>Spokane, WA</v>
      </c>
      <c r="K609" t="str">
        <f>VLOOKUP(Call_Center_Data[[#This Row],[Emp ID]], Employee[], 4, FALSE)</f>
        <v>Jenny Rhodes</v>
      </c>
      <c r="L609" t="str">
        <f>VLOOKUP(Call_Center_Data[[#This Row],[Call Type ID]], Call_Type[], 2, FALSE)</f>
        <v>Tech Sup</v>
      </c>
    </row>
    <row r="610" spans="1:12" x14ac:dyDescent="0.3">
      <c r="A610">
        <v>609</v>
      </c>
      <c r="B610">
        <v>3</v>
      </c>
      <c r="C610" s="1">
        <v>45203</v>
      </c>
      <c r="D610" s="2" t="s">
        <v>78</v>
      </c>
      <c r="E610">
        <v>1</v>
      </c>
      <c r="F610">
        <v>18</v>
      </c>
      <c r="G610">
        <v>144</v>
      </c>
      <c r="H610">
        <v>144</v>
      </c>
      <c r="I610" t="str">
        <f>VLOOKUP(Call_Center_Data[[#This Row],[Emp ID]],Employee[],2,FALSE)</f>
        <v>Jill Saab</v>
      </c>
      <c r="J610" t="str">
        <f>VLOOKUP(Call_Center_Data[[#This Row],[Emp ID]], Employee[], 3, FALSE)</f>
        <v>Spokane, WA</v>
      </c>
      <c r="K610" t="str">
        <f>VLOOKUP(Call_Center_Data[[#This Row],[Emp ID]], Employee[], 4, FALSE)</f>
        <v>Timmy Gill</v>
      </c>
      <c r="L610" t="str">
        <f>VLOOKUP(Call_Center_Data[[#This Row],[Call Type ID]], Call_Type[], 2, FALSE)</f>
        <v>Tech Sup</v>
      </c>
    </row>
    <row r="611" spans="1:12" x14ac:dyDescent="0.3">
      <c r="A611">
        <v>610</v>
      </c>
      <c r="B611">
        <v>2</v>
      </c>
      <c r="C611" s="1">
        <v>45204</v>
      </c>
      <c r="D611" s="2" t="s">
        <v>71</v>
      </c>
      <c r="E611">
        <v>0</v>
      </c>
      <c r="F611">
        <v>6</v>
      </c>
      <c r="G611">
        <v>158</v>
      </c>
      <c r="H611">
        <v>58</v>
      </c>
      <c r="I611" t="str">
        <f>VLOOKUP(Call_Center_Data[[#This Row],[Emp ID]],Employee[],2,FALSE)</f>
        <v>Sam Pat</v>
      </c>
      <c r="J611" t="str">
        <f>VLOOKUP(Call_Center_Data[[#This Row],[Emp ID]], Employee[], 3, FALSE)</f>
        <v>Aurora, CO</v>
      </c>
      <c r="K611" t="str">
        <f>VLOOKUP(Call_Center_Data[[#This Row],[Emp ID]], Employee[], 4, FALSE)</f>
        <v>Henry Mack</v>
      </c>
      <c r="L611" t="str">
        <f>VLOOKUP(Call_Center_Data[[#This Row],[Call Type ID]], Call_Type[], 2, FALSE)</f>
        <v>Sales</v>
      </c>
    </row>
    <row r="612" spans="1:12" x14ac:dyDescent="0.3">
      <c r="A612">
        <v>611</v>
      </c>
      <c r="B612">
        <v>1</v>
      </c>
      <c r="C612" s="1">
        <v>45205</v>
      </c>
      <c r="D612" s="2" t="s">
        <v>77</v>
      </c>
      <c r="E612">
        <v>0</v>
      </c>
      <c r="F612">
        <v>15</v>
      </c>
      <c r="G612">
        <v>170</v>
      </c>
      <c r="H612">
        <v>150</v>
      </c>
      <c r="I612" t="str">
        <f>VLOOKUP(Call_Center_Data[[#This Row],[Emp ID]],Employee[],2,FALSE)</f>
        <v>Sam Saab</v>
      </c>
      <c r="J612" t="str">
        <f>VLOOKUP(Call_Center_Data[[#This Row],[Emp ID]], Employee[], 3, FALSE)</f>
        <v>Aurora, CO</v>
      </c>
      <c r="K612" t="str">
        <f>VLOOKUP(Call_Center_Data[[#This Row],[Emp ID]], Employee[], 4, FALSE)</f>
        <v>Timmy Mack</v>
      </c>
      <c r="L612" t="str">
        <f>VLOOKUP(Call_Center_Data[[#This Row],[Call Type ID]], Call_Type[], 2, FALSE)</f>
        <v>Billing</v>
      </c>
    </row>
    <row r="613" spans="1:12" x14ac:dyDescent="0.3">
      <c r="A613">
        <v>612</v>
      </c>
      <c r="B613">
        <v>2</v>
      </c>
      <c r="C613" s="1">
        <v>45206</v>
      </c>
      <c r="D613" s="2" t="s">
        <v>75</v>
      </c>
      <c r="E613">
        <v>1</v>
      </c>
      <c r="F613">
        <v>15</v>
      </c>
      <c r="G613">
        <v>130</v>
      </c>
      <c r="H613">
        <v>159</v>
      </c>
      <c r="I613" t="str">
        <f>VLOOKUP(Call_Center_Data[[#This Row],[Emp ID]],Employee[],2,FALSE)</f>
        <v>Gina Pat</v>
      </c>
      <c r="J613" t="str">
        <f>VLOOKUP(Call_Center_Data[[#This Row],[Emp ID]], Employee[], 3, FALSE)</f>
        <v>Spokane, WA</v>
      </c>
      <c r="K613" t="str">
        <f>VLOOKUP(Call_Center_Data[[#This Row],[Emp ID]], Employee[], 4, FALSE)</f>
        <v>Henry Hall</v>
      </c>
      <c r="L613" t="str">
        <f>VLOOKUP(Call_Center_Data[[#This Row],[Call Type ID]], Call_Type[], 2, FALSE)</f>
        <v>Sales</v>
      </c>
    </row>
    <row r="614" spans="1:12" x14ac:dyDescent="0.3">
      <c r="A614">
        <v>613</v>
      </c>
      <c r="B614">
        <v>3</v>
      </c>
      <c r="C614" s="1">
        <v>45207</v>
      </c>
      <c r="D614" s="2" t="s">
        <v>80</v>
      </c>
      <c r="E614">
        <v>0</v>
      </c>
      <c r="F614">
        <v>16</v>
      </c>
      <c r="G614">
        <v>152</v>
      </c>
      <c r="H614">
        <v>119</v>
      </c>
      <c r="I614" t="str">
        <f>VLOOKUP(Call_Center_Data[[#This Row],[Emp ID]],Employee[],2,FALSE)</f>
        <v>Tina Simons</v>
      </c>
      <c r="J614" t="str">
        <f>VLOOKUP(Call_Center_Data[[#This Row],[Emp ID]], Employee[], 3, FALSE)</f>
        <v>Aurora, CO</v>
      </c>
      <c r="K614" t="str">
        <f>VLOOKUP(Call_Center_Data[[#This Row],[Emp ID]], Employee[], 4, FALSE)</f>
        <v>Pierce Gill</v>
      </c>
      <c r="L614" t="str">
        <f>VLOOKUP(Call_Center_Data[[#This Row],[Call Type ID]], Call_Type[], 2, FALSE)</f>
        <v>Tech Sup</v>
      </c>
    </row>
    <row r="615" spans="1:12" x14ac:dyDescent="0.3">
      <c r="A615">
        <v>614</v>
      </c>
      <c r="B615">
        <v>3</v>
      </c>
      <c r="C615" s="1">
        <v>45208</v>
      </c>
      <c r="D615" s="2" t="s">
        <v>65</v>
      </c>
      <c r="E615">
        <v>1</v>
      </c>
      <c r="F615">
        <v>6</v>
      </c>
      <c r="G615">
        <v>142</v>
      </c>
      <c r="H615">
        <v>48</v>
      </c>
      <c r="I615" t="str">
        <f>VLOOKUP(Call_Center_Data[[#This Row],[Emp ID]],Employee[],2,FALSE)</f>
        <v>Ultor John</v>
      </c>
      <c r="J615" t="str">
        <f>VLOOKUP(Call_Center_Data[[#This Row],[Emp ID]], Employee[], 3, FALSE)</f>
        <v>Spokane, WA</v>
      </c>
      <c r="K615" t="str">
        <f>VLOOKUP(Call_Center_Data[[#This Row],[Emp ID]], Employee[], 4, FALSE)</f>
        <v>John Mack</v>
      </c>
      <c r="L615" t="str">
        <f>VLOOKUP(Call_Center_Data[[#This Row],[Call Type ID]], Call_Type[], 2, FALSE)</f>
        <v>Tech Sup</v>
      </c>
    </row>
    <row r="616" spans="1:12" x14ac:dyDescent="0.3">
      <c r="A616">
        <v>615</v>
      </c>
      <c r="B616">
        <v>2</v>
      </c>
      <c r="C616" s="1">
        <v>45209</v>
      </c>
      <c r="D616" s="2" t="s">
        <v>78</v>
      </c>
      <c r="E616">
        <v>1</v>
      </c>
      <c r="F616">
        <v>9</v>
      </c>
      <c r="G616">
        <v>151</v>
      </c>
      <c r="H616">
        <v>276</v>
      </c>
      <c r="I616" t="str">
        <f>VLOOKUP(Call_Center_Data[[#This Row],[Emp ID]],Employee[],2,FALSE)</f>
        <v>Jill Saab</v>
      </c>
      <c r="J616" t="str">
        <f>VLOOKUP(Call_Center_Data[[#This Row],[Emp ID]], Employee[], 3, FALSE)</f>
        <v>Spokane, WA</v>
      </c>
      <c r="K616" t="str">
        <f>VLOOKUP(Call_Center_Data[[#This Row],[Emp ID]], Employee[], 4, FALSE)</f>
        <v>Timmy Gill</v>
      </c>
      <c r="L616" t="str">
        <f>VLOOKUP(Call_Center_Data[[#This Row],[Call Type ID]], Call_Type[], 2, FALSE)</f>
        <v>Sales</v>
      </c>
    </row>
    <row r="617" spans="1:12" x14ac:dyDescent="0.3">
      <c r="A617">
        <v>616</v>
      </c>
      <c r="B617">
        <v>3</v>
      </c>
      <c r="C617" s="1">
        <v>45210</v>
      </c>
      <c r="D617" s="2" t="s">
        <v>74</v>
      </c>
      <c r="E617">
        <v>1</v>
      </c>
      <c r="F617">
        <v>11</v>
      </c>
      <c r="G617">
        <v>150</v>
      </c>
      <c r="H617">
        <v>112</v>
      </c>
      <c r="I617" t="str">
        <f>VLOOKUP(Call_Center_Data[[#This Row],[Emp ID]],Employee[],2,FALSE)</f>
        <v>Gina John</v>
      </c>
      <c r="J617" t="str">
        <f>VLOOKUP(Call_Center_Data[[#This Row],[Emp ID]], Employee[], 3, FALSE)</f>
        <v>Jacksonville, WA</v>
      </c>
      <c r="K617" t="str">
        <f>VLOOKUP(Call_Center_Data[[#This Row],[Emp ID]], Employee[], 4, FALSE)</f>
        <v>Henry Gill</v>
      </c>
      <c r="L617" t="str">
        <f>VLOOKUP(Call_Center_Data[[#This Row],[Call Type ID]], Call_Type[], 2, FALSE)</f>
        <v>Tech Sup</v>
      </c>
    </row>
    <row r="618" spans="1:12" x14ac:dyDescent="0.3">
      <c r="A618">
        <v>617</v>
      </c>
      <c r="B618">
        <v>1</v>
      </c>
      <c r="C618" s="1">
        <v>45211</v>
      </c>
      <c r="D618" s="2" t="s">
        <v>66</v>
      </c>
      <c r="E618">
        <v>1</v>
      </c>
      <c r="F618">
        <v>9</v>
      </c>
      <c r="G618">
        <v>195</v>
      </c>
      <c r="H618">
        <v>110</v>
      </c>
      <c r="I618" t="str">
        <f>VLOOKUP(Call_Center_Data[[#This Row],[Emp ID]],Employee[],2,FALSE)</f>
        <v>Tina John</v>
      </c>
      <c r="J618" t="str">
        <f>VLOOKUP(Call_Center_Data[[#This Row],[Emp ID]], Employee[], 3, FALSE)</f>
        <v>Aurora, CO</v>
      </c>
      <c r="K618" t="str">
        <f>VLOOKUP(Call_Center_Data[[#This Row],[Emp ID]], Employee[], 4, FALSE)</f>
        <v>Timmy Rhodes</v>
      </c>
      <c r="L618" t="str">
        <f>VLOOKUP(Call_Center_Data[[#This Row],[Call Type ID]], Call_Type[], 2, FALSE)</f>
        <v>Billing</v>
      </c>
    </row>
    <row r="619" spans="1:12" x14ac:dyDescent="0.3">
      <c r="A619">
        <v>618</v>
      </c>
      <c r="B619">
        <v>1</v>
      </c>
      <c r="C619" s="1">
        <v>45212</v>
      </c>
      <c r="D619" s="2" t="s">
        <v>76</v>
      </c>
      <c r="E619">
        <v>0</v>
      </c>
      <c r="F619">
        <v>28</v>
      </c>
      <c r="G619">
        <v>145</v>
      </c>
      <c r="H619">
        <v>74</v>
      </c>
      <c r="I619" t="str">
        <f>VLOOKUP(Call_Center_Data[[#This Row],[Emp ID]],Employee[],2,FALSE)</f>
        <v>Ultor Saab</v>
      </c>
      <c r="J619" t="str">
        <f>VLOOKUP(Call_Center_Data[[#This Row],[Emp ID]], Employee[], 3, FALSE)</f>
        <v>Aurora, CO</v>
      </c>
      <c r="K619" t="str">
        <f>VLOOKUP(Call_Center_Data[[#This Row],[Emp ID]], Employee[], 4, FALSE)</f>
        <v>Pierce Baas</v>
      </c>
      <c r="L619" t="str">
        <f>VLOOKUP(Call_Center_Data[[#This Row],[Call Type ID]], Call_Type[], 2, FALSE)</f>
        <v>Billing</v>
      </c>
    </row>
    <row r="620" spans="1:12" x14ac:dyDescent="0.3">
      <c r="A620">
        <v>619</v>
      </c>
      <c r="B620">
        <v>2</v>
      </c>
      <c r="C620" s="1">
        <v>45213</v>
      </c>
      <c r="D620" s="2" t="s">
        <v>73</v>
      </c>
      <c r="E620">
        <v>1</v>
      </c>
      <c r="F620">
        <v>11</v>
      </c>
      <c r="G620">
        <v>148</v>
      </c>
      <c r="H620">
        <v>110</v>
      </c>
      <c r="I620" t="str">
        <f>VLOOKUP(Call_Center_Data[[#This Row],[Emp ID]],Employee[],2,FALSE)</f>
        <v>Jill John</v>
      </c>
      <c r="J620" t="str">
        <f>VLOOKUP(Call_Center_Data[[#This Row],[Emp ID]], Employee[], 3, FALSE)</f>
        <v>Spokane, WA</v>
      </c>
      <c r="K620" t="str">
        <f>VLOOKUP(Call_Center_Data[[#This Row],[Emp ID]], Employee[], 4, FALSE)</f>
        <v>John Gill</v>
      </c>
      <c r="L620" t="str">
        <f>VLOOKUP(Call_Center_Data[[#This Row],[Call Type ID]], Call_Type[], 2, FALSE)</f>
        <v>Sales</v>
      </c>
    </row>
    <row r="621" spans="1:12" x14ac:dyDescent="0.3">
      <c r="A621">
        <v>620</v>
      </c>
      <c r="B621">
        <v>2</v>
      </c>
      <c r="C621" s="1">
        <v>45214</v>
      </c>
      <c r="D621" s="2" t="s">
        <v>72</v>
      </c>
      <c r="E621">
        <v>0</v>
      </c>
      <c r="F621">
        <v>9</v>
      </c>
      <c r="G621">
        <v>137</v>
      </c>
      <c r="H621">
        <v>131</v>
      </c>
      <c r="I621" t="str">
        <f>VLOOKUP(Call_Center_Data[[#This Row],[Emp ID]],Employee[],2,FALSE)</f>
        <v>Ultor Pat</v>
      </c>
      <c r="J621" t="str">
        <f>VLOOKUP(Call_Center_Data[[#This Row],[Emp ID]], Employee[], 3, FALSE)</f>
        <v>Jacksonville, WA</v>
      </c>
      <c r="K621" t="str">
        <f>VLOOKUP(Call_Center_Data[[#This Row],[Emp ID]], Employee[], 4, FALSE)</f>
        <v>Jenny Hall</v>
      </c>
      <c r="L621" t="str">
        <f>VLOOKUP(Call_Center_Data[[#This Row],[Call Type ID]], Call_Type[], 2, FALSE)</f>
        <v>Sales</v>
      </c>
    </row>
    <row r="622" spans="1:12" x14ac:dyDescent="0.3">
      <c r="A622">
        <v>621</v>
      </c>
      <c r="B622">
        <v>1</v>
      </c>
      <c r="C622" s="1">
        <v>45215</v>
      </c>
      <c r="D622" s="2" t="s">
        <v>88</v>
      </c>
      <c r="E622">
        <v>1</v>
      </c>
      <c r="F622">
        <v>6</v>
      </c>
      <c r="G622">
        <v>141</v>
      </c>
      <c r="H622">
        <v>48</v>
      </c>
      <c r="I622" t="str">
        <f>VLOOKUP(Call_Center_Data[[#This Row],[Emp ID]],Employee[],2,FALSE)</f>
        <v>Gina Gilder</v>
      </c>
      <c r="J622" t="str">
        <f>VLOOKUP(Call_Center_Data[[#This Row],[Emp ID]], Employee[], 3, FALSE)</f>
        <v>Jacksonville, WA</v>
      </c>
      <c r="K622" t="str">
        <f>VLOOKUP(Call_Center_Data[[#This Row],[Emp ID]], Employee[], 4, FALSE)</f>
        <v>Pierce Rhodes</v>
      </c>
      <c r="L622" t="str">
        <f>VLOOKUP(Call_Center_Data[[#This Row],[Call Type ID]], Call_Type[], 2, FALSE)</f>
        <v>Billing</v>
      </c>
    </row>
    <row r="623" spans="1:12" x14ac:dyDescent="0.3">
      <c r="A623">
        <v>622</v>
      </c>
      <c r="B623">
        <v>3</v>
      </c>
      <c r="C623" s="1">
        <v>45216</v>
      </c>
      <c r="D623" s="2" t="s">
        <v>74</v>
      </c>
      <c r="E623">
        <v>0</v>
      </c>
      <c r="F623">
        <v>8</v>
      </c>
      <c r="G623">
        <v>155</v>
      </c>
      <c r="H623">
        <v>58</v>
      </c>
      <c r="I623" t="str">
        <f>VLOOKUP(Call_Center_Data[[#This Row],[Emp ID]],Employee[],2,FALSE)</f>
        <v>Gina John</v>
      </c>
      <c r="J623" t="str">
        <f>VLOOKUP(Call_Center_Data[[#This Row],[Emp ID]], Employee[], 3, FALSE)</f>
        <v>Jacksonville, WA</v>
      </c>
      <c r="K623" t="str">
        <f>VLOOKUP(Call_Center_Data[[#This Row],[Emp ID]], Employee[], 4, FALSE)</f>
        <v>Henry Gill</v>
      </c>
      <c r="L623" t="str">
        <f>VLOOKUP(Call_Center_Data[[#This Row],[Call Type ID]], Call_Type[], 2, FALSE)</f>
        <v>Tech Sup</v>
      </c>
    </row>
    <row r="624" spans="1:12" x14ac:dyDescent="0.3">
      <c r="A624">
        <v>623</v>
      </c>
      <c r="B624">
        <v>2</v>
      </c>
      <c r="C624" s="1">
        <v>45217</v>
      </c>
      <c r="D624" s="2" t="s">
        <v>86</v>
      </c>
      <c r="E624">
        <v>0</v>
      </c>
      <c r="F624">
        <v>13</v>
      </c>
      <c r="G624">
        <v>163</v>
      </c>
      <c r="H624">
        <v>133</v>
      </c>
      <c r="I624" t="str">
        <f>VLOOKUP(Call_Center_Data[[#This Row],[Emp ID]],Employee[],2,FALSE)</f>
        <v>Jill Gilder</v>
      </c>
      <c r="J624" t="str">
        <f>VLOOKUP(Call_Center_Data[[#This Row],[Emp ID]], Employee[], 3, FALSE)</f>
        <v>Aurora, CO</v>
      </c>
      <c r="K624" t="str">
        <f>VLOOKUP(Call_Center_Data[[#This Row],[Emp ID]], Employee[], 4, FALSE)</f>
        <v>Jenny Baas</v>
      </c>
      <c r="L624" t="str">
        <f>VLOOKUP(Call_Center_Data[[#This Row],[Call Type ID]], Call_Type[], 2, FALSE)</f>
        <v>Sales</v>
      </c>
    </row>
    <row r="625" spans="1:12" x14ac:dyDescent="0.3">
      <c r="A625">
        <v>624</v>
      </c>
      <c r="B625">
        <v>3</v>
      </c>
      <c r="C625" s="1">
        <v>45218</v>
      </c>
      <c r="D625" s="2" t="s">
        <v>67</v>
      </c>
      <c r="E625">
        <v>1</v>
      </c>
      <c r="F625">
        <v>13</v>
      </c>
      <c r="G625">
        <v>151</v>
      </c>
      <c r="H625">
        <v>87</v>
      </c>
      <c r="I625" t="str">
        <f>VLOOKUP(Call_Center_Data[[#This Row],[Emp ID]],Employee[],2,FALSE)</f>
        <v>Tina Pat</v>
      </c>
      <c r="J625" t="str">
        <f>VLOOKUP(Call_Center_Data[[#This Row],[Emp ID]], Employee[], 3, FALSE)</f>
        <v>Jacksonville, WA</v>
      </c>
      <c r="K625" t="str">
        <f>VLOOKUP(Call_Center_Data[[#This Row],[Emp ID]], Employee[], 4, FALSE)</f>
        <v>John Hall</v>
      </c>
      <c r="L625" t="str">
        <f>VLOOKUP(Call_Center_Data[[#This Row],[Call Type ID]], Call_Type[], 2, FALSE)</f>
        <v>Tech Sup</v>
      </c>
    </row>
    <row r="626" spans="1:12" x14ac:dyDescent="0.3">
      <c r="A626">
        <v>625</v>
      </c>
      <c r="B626">
        <v>2</v>
      </c>
      <c r="C626" s="1">
        <v>45219</v>
      </c>
      <c r="D626" s="2" t="s">
        <v>81</v>
      </c>
      <c r="E626">
        <v>0</v>
      </c>
      <c r="F626">
        <v>17</v>
      </c>
      <c r="G626">
        <v>156</v>
      </c>
      <c r="H626">
        <v>315</v>
      </c>
      <c r="I626" t="str">
        <f>VLOOKUP(Call_Center_Data[[#This Row],[Emp ID]],Employee[],2,FALSE)</f>
        <v>Sam Simons</v>
      </c>
      <c r="J626" t="str">
        <f>VLOOKUP(Call_Center_Data[[#This Row],[Emp ID]], Employee[], 3, FALSE)</f>
        <v>Jacksonville, WA</v>
      </c>
      <c r="K626" t="str">
        <f>VLOOKUP(Call_Center_Data[[#This Row],[Emp ID]], Employee[], 4, FALSE)</f>
        <v>John Baas</v>
      </c>
      <c r="L626" t="str">
        <f>VLOOKUP(Call_Center_Data[[#This Row],[Call Type ID]], Call_Type[], 2, FALSE)</f>
        <v>Sales</v>
      </c>
    </row>
    <row r="627" spans="1:12" x14ac:dyDescent="0.3">
      <c r="A627">
        <v>626</v>
      </c>
      <c r="B627">
        <v>1</v>
      </c>
      <c r="C627" s="1">
        <v>45220</v>
      </c>
      <c r="D627" s="2" t="s">
        <v>66</v>
      </c>
      <c r="E627">
        <v>1</v>
      </c>
      <c r="F627">
        <v>24</v>
      </c>
      <c r="G627">
        <v>166</v>
      </c>
      <c r="H627">
        <v>165</v>
      </c>
      <c r="I627" t="str">
        <f>VLOOKUP(Call_Center_Data[[#This Row],[Emp ID]],Employee[],2,FALSE)</f>
        <v>Tina John</v>
      </c>
      <c r="J627" t="str">
        <f>VLOOKUP(Call_Center_Data[[#This Row],[Emp ID]], Employee[], 3, FALSE)</f>
        <v>Aurora, CO</v>
      </c>
      <c r="K627" t="str">
        <f>VLOOKUP(Call_Center_Data[[#This Row],[Emp ID]], Employee[], 4, FALSE)</f>
        <v>Timmy Rhodes</v>
      </c>
      <c r="L627" t="str">
        <f>VLOOKUP(Call_Center_Data[[#This Row],[Call Type ID]], Call_Type[], 2, FALSE)</f>
        <v>Billing</v>
      </c>
    </row>
    <row r="628" spans="1:12" x14ac:dyDescent="0.3">
      <c r="A628">
        <v>627</v>
      </c>
      <c r="B628">
        <v>1</v>
      </c>
      <c r="C628" s="1">
        <v>45221</v>
      </c>
      <c r="D628" s="2" t="s">
        <v>65</v>
      </c>
      <c r="E628">
        <v>0</v>
      </c>
      <c r="F628">
        <v>16</v>
      </c>
      <c r="G628">
        <v>153</v>
      </c>
      <c r="H628">
        <v>98</v>
      </c>
      <c r="I628" t="str">
        <f>VLOOKUP(Call_Center_Data[[#This Row],[Emp ID]],Employee[],2,FALSE)</f>
        <v>Ultor John</v>
      </c>
      <c r="J628" t="str">
        <f>VLOOKUP(Call_Center_Data[[#This Row],[Emp ID]], Employee[], 3, FALSE)</f>
        <v>Spokane, WA</v>
      </c>
      <c r="K628" t="str">
        <f>VLOOKUP(Call_Center_Data[[#This Row],[Emp ID]], Employee[], 4, FALSE)</f>
        <v>John Mack</v>
      </c>
      <c r="L628" t="str">
        <f>VLOOKUP(Call_Center_Data[[#This Row],[Call Type ID]], Call_Type[], 2, FALSE)</f>
        <v>Billing</v>
      </c>
    </row>
    <row r="629" spans="1:12" x14ac:dyDescent="0.3">
      <c r="A629">
        <v>628</v>
      </c>
      <c r="B629">
        <v>3</v>
      </c>
      <c r="C629" s="1">
        <v>45222</v>
      </c>
      <c r="D629" s="2" t="s">
        <v>66</v>
      </c>
      <c r="E629">
        <v>0</v>
      </c>
      <c r="F629">
        <v>4</v>
      </c>
      <c r="G629">
        <v>144</v>
      </c>
      <c r="H629">
        <v>18</v>
      </c>
      <c r="I629" t="str">
        <f>VLOOKUP(Call_Center_Data[[#This Row],[Emp ID]],Employee[],2,FALSE)</f>
        <v>Tina John</v>
      </c>
      <c r="J629" t="str">
        <f>VLOOKUP(Call_Center_Data[[#This Row],[Emp ID]], Employee[], 3, FALSE)</f>
        <v>Aurora, CO</v>
      </c>
      <c r="K629" t="str">
        <f>VLOOKUP(Call_Center_Data[[#This Row],[Emp ID]], Employee[], 4, FALSE)</f>
        <v>Timmy Rhodes</v>
      </c>
      <c r="L629" t="str">
        <f>VLOOKUP(Call_Center_Data[[#This Row],[Call Type ID]], Call_Type[], 2, FALSE)</f>
        <v>Tech Sup</v>
      </c>
    </row>
    <row r="630" spans="1:12" x14ac:dyDescent="0.3">
      <c r="A630">
        <v>629</v>
      </c>
      <c r="B630">
        <v>2</v>
      </c>
      <c r="C630" s="1">
        <v>45223</v>
      </c>
      <c r="D630" s="2" t="s">
        <v>84</v>
      </c>
      <c r="E630">
        <v>0</v>
      </c>
      <c r="F630">
        <v>17</v>
      </c>
      <c r="G630">
        <v>152</v>
      </c>
      <c r="H630">
        <v>331</v>
      </c>
      <c r="I630" t="str">
        <f>VLOOKUP(Call_Center_Data[[#This Row],[Emp ID]],Employee[],2,FALSE)</f>
        <v>Sam John</v>
      </c>
      <c r="J630" t="str">
        <f>VLOOKUP(Call_Center_Data[[#This Row],[Emp ID]], Employee[], 3, FALSE)</f>
        <v>Aurora, CO</v>
      </c>
      <c r="K630" t="str">
        <f>VLOOKUP(Call_Center_Data[[#This Row],[Emp ID]], Employee[], 4, FALSE)</f>
        <v>Jenny Mack</v>
      </c>
      <c r="L630" t="str">
        <f>VLOOKUP(Call_Center_Data[[#This Row],[Call Type ID]], Call_Type[], 2, FALSE)</f>
        <v>Sales</v>
      </c>
    </row>
    <row r="631" spans="1:12" x14ac:dyDescent="0.3">
      <c r="A631">
        <v>630</v>
      </c>
      <c r="B631">
        <v>3</v>
      </c>
      <c r="C631" s="1">
        <v>45224</v>
      </c>
      <c r="D631" s="2" t="s">
        <v>79</v>
      </c>
      <c r="E631">
        <v>0</v>
      </c>
      <c r="F631">
        <v>29</v>
      </c>
      <c r="G631">
        <v>157</v>
      </c>
      <c r="H631">
        <v>162</v>
      </c>
      <c r="I631" t="str">
        <f>VLOOKUP(Call_Center_Data[[#This Row],[Emp ID]],Employee[],2,FALSE)</f>
        <v>Gina Simons</v>
      </c>
      <c r="J631" t="str">
        <f>VLOOKUP(Call_Center_Data[[#This Row],[Emp ID]], Employee[], 3, FALSE)</f>
        <v>Spokane, WA</v>
      </c>
      <c r="K631" t="str">
        <f>VLOOKUP(Call_Center_Data[[#This Row],[Emp ID]], Employee[], 4, FALSE)</f>
        <v>John Rhodes</v>
      </c>
      <c r="L631" t="str">
        <f>VLOOKUP(Call_Center_Data[[#This Row],[Call Type ID]], Call_Type[], 2, FALSE)</f>
        <v>Tech Sup</v>
      </c>
    </row>
    <row r="632" spans="1:12" x14ac:dyDescent="0.3">
      <c r="A632">
        <v>631</v>
      </c>
      <c r="B632">
        <v>1</v>
      </c>
      <c r="C632" s="1">
        <v>45225</v>
      </c>
      <c r="D632" s="2" t="s">
        <v>80</v>
      </c>
      <c r="E632">
        <v>0</v>
      </c>
      <c r="F632">
        <v>18</v>
      </c>
      <c r="G632">
        <v>159</v>
      </c>
      <c r="H632">
        <v>276</v>
      </c>
      <c r="I632" t="str">
        <f>VLOOKUP(Call_Center_Data[[#This Row],[Emp ID]],Employee[],2,FALSE)</f>
        <v>Tina Simons</v>
      </c>
      <c r="J632" t="str">
        <f>VLOOKUP(Call_Center_Data[[#This Row],[Emp ID]], Employee[], 3, FALSE)</f>
        <v>Aurora, CO</v>
      </c>
      <c r="K632" t="str">
        <f>VLOOKUP(Call_Center_Data[[#This Row],[Emp ID]], Employee[], 4, FALSE)</f>
        <v>Pierce Gill</v>
      </c>
      <c r="L632" t="str">
        <f>VLOOKUP(Call_Center_Data[[#This Row],[Call Type ID]], Call_Type[], 2, FALSE)</f>
        <v>Billing</v>
      </c>
    </row>
    <row r="633" spans="1:12" x14ac:dyDescent="0.3">
      <c r="A633">
        <v>632</v>
      </c>
      <c r="B633">
        <v>1</v>
      </c>
      <c r="C633" s="1">
        <v>45226</v>
      </c>
      <c r="D633" s="2" t="s">
        <v>72</v>
      </c>
      <c r="E633">
        <v>1</v>
      </c>
      <c r="F633">
        <v>10</v>
      </c>
      <c r="G633">
        <v>123</v>
      </c>
      <c r="H633">
        <v>164</v>
      </c>
      <c r="I633" t="str">
        <f>VLOOKUP(Call_Center_Data[[#This Row],[Emp ID]],Employee[],2,FALSE)</f>
        <v>Ultor Pat</v>
      </c>
      <c r="J633" t="str">
        <f>VLOOKUP(Call_Center_Data[[#This Row],[Emp ID]], Employee[], 3, FALSE)</f>
        <v>Jacksonville, WA</v>
      </c>
      <c r="K633" t="str">
        <f>VLOOKUP(Call_Center_Data[[#This Row],[Emp ID]], Employee[], 4, FALSE)</f>
        <v>Jenny Hall</v>
      </c>
      <c r="L633" t="str">
        <f>VLOOKUP(Call_Center_Data[[#This Row],[Call Type ID]], Call_Type[], 2, FALSE)</f>
        <v>Billing</v>
      </c>
    </row>
    <row r="634" spans="1:12" x14ac:dyDescent="0.3">
      <c r="A634">
        <v>633</v>
      </c>
      <c r="B634">
        <v>3</v>
      </c>
      <c r="C634" s="1">
        <v>45227</v>
      </c>
      <c r="D634" s="2" t="s">
        <v>85</v>
      </c>
      <c r="E634">
        <v>1</v>
      </c>
      <c r="F634">
        <v>21</v>
      </c>
      <c r="G634">
        <v>155</v>
      </c>
      <c r="H634">
        <v>190</v>
      </c>
      <c r="I634" t="str">
        <f>VLOOKUP(Call_Center_Data[[#This Row],[Emp ID]],Employee[],2,FALSE)</f>
        <v>Tina Gilder</v>
      </c>
      <c r="J634" t="str">
        <f>VLOOKUP(Call_Center_Data[[#This Row],[Emp ID]], Employee[], 3, FALSE)</f>
        <v>Spokane, WA</v>
      </c>
      <c r="K634" t="str">
        <f>VLOOKUP(Call_Center_Data[[#This Row],[Emp ID]], Employee[], 4, FALSE)</f>
        <v>Timmy Baas</v>
      </c>
      <c r="L634" t="str">
        <f>VLOOKUP(Call_Center_Data[[#This Row],[Call Type ID]], Call_Type[], 2, FALSE)</f>
        <v>Tech Sup</v>
      </c>
    </row>
    <row r="635" spans="1:12" x14ac:dyDescent="0.3">
      <c r="A635">
        <v>634</v>
      </c>
      <c r="B635">
        <v>2</v>
      </c>
      <c r="C635" s="1">
        <v>45228</v>
      </c>
      <c r="D635" s="2" t="s">
        <v>86</v>
      </c>
      <c r="E635">
        <v>0</v>
      </c>
      <c r="F635">
        <v>14</v>
      </c>
      <c r="G635">
        <v>151</v>
      </c>
      <c r="H635">
        <v>153</v>
      </c>
      <c r="I635" t="str">
        <f>VLOOKUP(Call_Center_Data[[#This Row],[Emp ID]],Employee[],2,FALSE)</f>
        <v>Jill Gilder</v>
      </c>
      <c r="J635" t="str">
        <f>VLOOKUP(Call_Center_Data[[#This Row],[Emp ID]], Employee[], 3, FALSE)</f>
        <v>Aurora, CO</v>
      </c>
      <c r="K635" t="str">
        <f>VLOOKUP(Call_Center_Data[[#This Row],[Emp ID]], Employee[], 4, FALSE)</f>
        <v>Jenny Baas</v>
      </c>
      <c r="L635" t="str">
        <f>VLOOKUP(Call_Center_Data[[#This Row],[Call Type ID]], Call_Type[], 2, FALSE)</f>
        <v>Sales</v>
      </c>
    </row>
    <row r="636" spans="1:12" x14ac:dyDescent="0.3">
      <c r="A636">
        <v>635</v>
      </c>
      <c r="B636">
        <v>2</v>
      </c>
      <c r="C636" s="1">
        <v>45229</v>
      </c>
      <c r="D636" s="2" t="s">
        <v>85</v>
      </c>
      <c r="E636">
        <v>1</v>
      </c>
      <c r="F636">
        <v>5</v>
      </c>
      <c r="G636">
        <v>132</v>
      </c>
      <c r="H636">
        <v>55</v>
      </c>
      <c r="I636" t="str">
        <f>VLOOKUP(Call_Center_Data[[#This Row],[Emp ID]],Employee[],2,FALSE)</f>
        <v>Tina Gilder</v>
      </c>
      <c r="J636" t="str">
        <f>VLOOKUP(Call_Center_Data[[#This Row],[Emp ID]], Employee[], 3, FALSE)</f>
        <v>Spokane, WA</v>
      </c>
      <c r="K636" t="str">
        <f>VLOOKUP(Call_Center_Data[[#This Row],[Emp ID]], Employee[], 4, FALSE)</f>
        <v>Timmy Baas</v>
      </c>
      <c r="L636" t="str">
        <f>VLOOKUP(Call_Center_Data[[#This Row],[Call Type ID]], Call_Type[], 2, FALSE)</f>
        <v>Sales</v>
      </c>
    </row>
    <row r="637" spans="1:12" x14ac:dyDescent="0.3">
      <c r="A637">
        <v>636</v>
      </c>
      <c r="B637">
        <v>1</v>
      </c>
      <c r="C637" s="1">
        <v>45230</v>
      </c>
      <c r="D637" s="2" t="s">
        <v>82</v>
      </c>
      <c r="E637">
        <v>1</v>
      </c>
      <c r="F637">
        <v>9</v>
      </c>
      <c r="G637">
        <v>152</v>
      </c>
      <c r="H637">
        <v>330</v>
      </c>
      <c r="I637" t="str">
        <f>VLOOKUP(Call_Center_Data[[#This Row],[Emp ID]],Employee[],2,FALSE)</f>
        <v>Ultor Gilder</v>
      </c>
      <c r="J637" t="str">
        <f>VLOOKUP(Call_Center_Data[[#This Row],[Emp ID]], Employee[], 3, FALSE)</f>
        <v>Aurora, CO</v>
      </c>
      <c r="K637" t="str">
        <f>VLOOKUP(Call_Center_Data[[#This Row],[Emp ID]], Employee[], 4, FALSE)</f>
        <v>Pierce Mack</v>
      </c>
      <c r="L637" t="str">
        <f>VLOOKUP(Call_Center_Data[[#This Row],[Call Type ID]], Call_Type[], 2, FALSE)</f>
        <v>Billing</v>
      </c>
    </row>
    <row r="638" spans="1:12" x14ac:dyDescent="0.3">
      <c r="A638">
        <v>637</v>
      </c>
      <c r="B638">
        <v>1</v>
      </c>
      <c r="C638" s="1">
        <v>45231</v>
      </c>
      <c r="D638" s="2" t="s">
        <v>71</v>
      </c>
      <c r="E638">
        <v>0</v>
      </c>
      <c r="F638">
        <v>8</v>
      </c>
      <c r="G638">
        <v>142</v>
      </c>
      <c r="H638">
        <v>79</v>
      </c>
      <c r="I638" t="str">
        <f>VLOOKUP(Call_Center_Data[[#This Row],[Emp ID]],Employee[],2,FALSE)</f>
        <v>Sam Pat</v>
      </c>
      <c r="J638" t="str">
        <f>VLOOKUP(Call_Center_Data[[#This Row],[Emp ID]], Employee[], 3, FALSE)</f>
        <v>Aurora, CO</v>
      </c>
      <c r="K638" t="str">
        <f>VLOOKUP(Call_Center_Data[[#This Row],[Emp ID]], Employee[], 4, FALSE)</f>
        <v>Henry Mack</v>
      </c>
      <c r="L638" t="str">
        <f>VLOOKUP(Call_Center_Data[[#This Row],[Call Type ID]], Call_Type[], 2, FALSE)</f>
        <v>Billing</v>
      </c>
    </row>
    <row r="639" spans="1:12" x14ac:dyDescent="0.3">
      <c r="A639">
        <v>638</v>
      </c>
      <c r="B639">
        <v>1</v>
      </c>
      <c r="C639" s="1">
        <v>45232</v>
      </c>
      <c r="D639" s="2" t="s">
        <v>80</v>
      </c>
      <c r="E639">
        <v>0</v>
      </c>
      <c r="F639">
        <v>21</v>
      </c>
      <c r="G639">
        <v>166</v>
      </c>
      <c r="H639">
        <v>164</v>
      </c>
      <c r="I639" t="str">
        <f>VLOOKUP(Call_Center_Data[[#This Row],[Emp ID]],Employee[],2,FALSE)</f>
        <v>Tina Simons</v>
      </c>
      <c r="J639" t="str">
        <f>VLOOKUP(Call_Center_Data[[#This Row],[Emp ID]], Employee[], 3, FALSE)</f>
        <v>Aurora, CO</v>
      </c>
      <c r="K639" t="str">
        <f>VLOOKUP(Call_Center_Data[[#This Row],[Emp ID]], Employee[], 4, FALSE)</f>
        <v>Pierce Gill</v>
      </c>
      <c r="L639" t="str">
        <f>VLOOKUP(Call_Center_Data[[#This Row],[Call Type ID]], Call_Type[], 2, FALSE)</f>
        <v>Billing</v>
      </c>
    </row>
    <row r="640" spans="1:12" x14ac:dyDescent="0.3">
      <c r="A640">
        <v>639</v>
      </c>
      <c r="B640">
        <v>2</v>
      </c>
      <c r="C640" s="1">
        <v>45233</v>
      </c>
      <c r="D640" s="2" t="s">
        <v>78</v>
      </c>
      <c r="E640">
        <v>0</v>
      </c>
      <c r="F640">
        <v>14</v>
      </c>
      <c r="G640">
        <v>156</v>
      </c>
      <c r="H640">
        <v>110</v>
      </c>
      <c r="I640" t="str">
        <f>VLOOKUP(Call_Center_Data[[#This Row],[Emp ID]],Employee[],2,FALSE)</f>
        <v>Jill Saab</v>
      </c>
      <c r="J640" t="str">
        <f>VLOOKUP(Call_Center_Data[[#This Row],[Emp ID]], Employee[], 3, FALSE)</f>
        <v>Spokane, WA</v>
      </c>
      <c r="K640" t="str">
        <f>VLOOKUP(Call_Center_Data[[#This Row],[Emp ID]], Employee[], 4, FALSE)</f>
        <v>Timmy Gill</v>
      </c>
      <c r="L640" t="str">
        <f>VLOOKUP(Call_Center_Data[[#This Row],[Call Type ID]], Call_Type[], 2, FALSE)</f>
        <v>Sales</v>
      </c>
    </row>
    <row r="641" spans="1:12" x14ac:dyDescent="0.3">
      <c r="A641">
        <v>640</v>
      </c>
      <c r="B641">
        <v>3</v>
      </c>
      <c r="C641" s="1">
        <v>45234</v>
      </c>
      <c r="D641" s="2" t="s">
        <v>83</v>
      </c>
      <c r="E641">
        <v>0</v>
      </c>
      <c r="F641">
        <v>26</v>
      </c>
      <c r="G641">
        <v>170</v>
      </c>
      <c r="H641">
        <v>297</v>
      </c>
      <c r="I641" t="str">
        <f>VLOOKUP(Call_Center_Data[[#This Row],[Emp ID]],Employee[],2,FALSE)</f>
        <v>Ultor Simons</v>
      </c>
      <c r="J641" t="str">
        <f>VLOOKUP(Call_Center_Data[[#This Row],[Emp ID]], Employee[], 3, FALSE)</f>
        <v>Jacksonville, WA</v>
      </c>
      <c r="K641" t="str">
        <f>VLOOKUP(Call_Center_Data[[#This Row],[Emp ID]], Employee[], 4, FALSE)</f>
        <v>Pierce Hall</v>
      </c>
      <c r="L641" t="str">
        <f>VLOOKUP(Call_Center_Data[[#This Row],[Call Type ID]], Call_Type[], 2, FALSE)</f>
        <v>Tech Sup</v>
      </c>
    </row>
    <row r="642" spans="1:12" x14ac:dyDescent="0.3">
      <c r="A642">
        <v>641</v>
      </c>
      <c r="B642">
        <v>2</v>
      </c>
      <c r="C642" s="1">
        <v>45235</v>
      </c>
      <c r="D642" s="2" t="s">
        <v>70</v>
      </c>
      <c r="E642">
        <v>0</v>
      </c>
      <c r="F642">
        <v>13</v>
      </c>
      <c r="G642">
        <v>165</v>
      </c>
      <c r="H642">
        <v>102</v>
      </c>
      <c r="I642" t="str">
        <f>VLOOKUP(Call_Center_Data[[#This Row],[Emp ID]],Employee[],2,FALSE)</f>
        <v>Jill Pat</v>
      </c>
      <c r="J642" t="str">
        <f>VLOOKUP(Call_Center_Data[[#This Row],[Emp ID]], Employee[], 3, FALSE)</f>
        <v>Aurora, CO</v>
      </c>
      <c r="K642" t="str">
        <f>VLOOKUP(Call_Center_Data[[#This Row],[Emp ID]], Employee[], 4, FALSE)</f>
        <v>Henry Rhodes</v>
      </c>
      <c r="L642" t="str">
        <f>VLOOKUP(Call_Center_Data[[#This Row],[Call Type ID]], Call_Type[], 2, FALSE)</f>
        <v>Sales</v>
      </c>
    </row>
    <row r="643" spans="1:12" x14ac:dyDescent="0.3">
      <c r="A643">
        <v>642</v>
      </c>
      <c r="B643">
        <v>3</v>
      </c>
      <c r="C643" s="1">
        <v>45236</v>
      </c>
      <c r="D643" s="2" t="s">
        <v>71</v>
      </c>
      <c r="E643">
        <v>1</v>
      </c>
      <c r="F643">
        <v>20</v>
      </c>
      <c r="G643">
        <v>171</v>
      </c>
      <c r="H643">
        <v>160</v>
      </c>
      <c r="I643" t="str">
        <f>VLOOKUP(Call_Center_Data[[#This Row],[Emp ID]],Employee[],2,FALSE)</f>
        <v>Sam Pat</v>
      </c>
      <c r="J643" t="str">
        <f>VLOOKUP(Call_Center_Data[[#This Row],[Emp ID]], Employee[], 3, FALSE)</f>
        <v>Aurora, CO</v>
      </c>
      <c r="K643" t="str">
        <f>VLOOKUP(Call_Center_Data[[#This Row],[Emp ID]], Employee[], 4, FALSE)</f>
        <v>Henry Mack</v>
      </c>
      <c r="L643" t="str">
        <f>VLOOKUP(Call_Center_Data[[#This Row],[Call Type ID]], Call_Type[], 2, FALSE)</f>
        <v>Tech Sup</v>
      </c>
    </row>
    <row r="644" spans="1:12" x14ac:dyDescent="0.3">
      <c r="A644">
        <v>643</v>
      </c>
      <c r="B644">
        <v>1</v>
      </c>
      <c r="C644" s="1">
        <v>45237</v>
      </c>
      <c r="D644" s="2" t="s">
        <v>87</v>
      </c>
      <c r="E644">
        <v>1</v>
      </c>
      <c r="F644">
        <v>11</v>
      </c>
      <c r="G644">
        <v>152</v>
      </c>
      <c r="H644">
        <v>138</v>
      </c>
      <c r="I644" t="str">
        <f>VLOOKUP(Call_Center_Data[[#This Row],[Emp ID]],Employee[],2,FALSE)</f>
        <v>Gina Saab</v>
      </c>
      <c r="J644" t="str">
        <f>VLOOKUP(Call_Center_Data[[#This Row],[Emp ID]], Employee[], 3, FALSE)</f>
        <v>Jacksonville, WA</v>
      </c>
      <c r="K644" t="str">
        <f>VLOOKUP(Call_Center_Data[[#This Row],[Emp ID]], Employee[], 4, FALSE)</f>
        <v>Jenny Gill</v>
      </c>
      <c r="L644" t="str">
        <f>VLOOKUP(Call_Center_Data[[#This Row],[Call Type ID]], Call_Type[], 2, FALSE)</f>
        <v>Billing</v>
      </c>
    </row>
    <row r="645" spans="1:12" x14ac:dyDescent="0.3">
      <c r="A645">
        <v>644</v>
      </c>
      <c r="B645">
        <v>2</v>
      </c>
      <c r="C645" s="1">
        <v>45238</v>
      </c>
      <c r="D645" s="2" t="s">
        <v>79</v>
      </c>
      <c r="E645">
        <v>0</v>
      </c>
      <c r="F645">
        <v>18</v>
      </c>
      <c r="G645">
        <v>143</v>
      </c>
      <c r="H645">
        <v>167</v>
      </c>
      <c r="I645" t="str">
        <f>VLOOKUP(Call_Center_Data[[#This Row],[Emp ID]],Employee[],2,FALSE)</f>
        <v>Gina Simons</v>
      </c>
      <c r="J645" t="str">
        <f>VLOOKUP(Call_Center_Data[[#This Row],[Emp ID]], Employee[], 3, FALSE)</f>
        <v>Spokane, WA</v>
      </c>
      <c r="K645" t="str">
        <f>VLOOKUP(Call_Center_Data[[#This Row],[Emp ID]], Employee[], 4, FALSE)</f>
        <v>John Rhodes</v>
      </c>
      <c r="L645" t="str">
        <f>VLOOKUP(Call_Center_Data[[#This Row],[Call Type ID]], Call_Type[], 2, FALSE)</f>
        <v>Sales</v>
      </c>
    </row>
    <row r="646" spans="1:12" x14ac:dyDescent="0.3">
      <c r="A646">
        <v>645</v>
      </c>
      <c r="B646">
        <v>3</v>
      </c>
      <c r="C646" s="1">
        <v>45239</v>
      </c>
      <c r="D646" s="2" t="s">
        <v>68</v>
      </c>
      <c r="E646">
        <v>0</v>
      </c>
      <c r="F646">
        <v>18</v>
      </c>
      <c r="G646">
        <v>163</v>
      </c>
      <c r="H646">
        <v>126</v>
      </c>
      <c r="I646" t="str">
        <f>VLOOKUP(Call_Center_Data[[#This Row],[Emp ID]],Employee[],2,FALSE)</f>
        <v>Tina Saab</v>
      </c>
      <c r="J646" t="str">
        <f>VLOOKUP(Call_Center_Data[[#This Row],[Emp ID]], Employee[], 3, FALSE)</f>
        <v>Spokane, WA</v>
      </c>
      <c r="K646" t="str">
        <f>VLOOKUP(Call_Center_Data[[#This Row],[Emp ID]], Employee[], 4, FALSE)</f>
        <v>Henry Baas</v>
      </c>
      <c r="L646" t="str">
        <f>VLOOKUP(Call_Center_Data[[#This Row],[Call Type ID]], Call_Type[], 2, FALSE)</f>
        <v>Tech Sup</v>
      </c>
    </row>
    <row r="647" spans="1:12" x14ac:dyDescent="0.3">
      <c r="A647">
        <v>646</v>
      </c>
      <c r="B647">
        <v>3</v>
      </c>
      <c r="C647" s="1">
        <v>45240</v>
      </c>
      <c r="D647" s="2" t="s">
        <v>64</v>
      </c>
      <c r="E647">
        <v>1</v>
      </c>
      <c r="F647">
        <v>31</v>
      </c>
      <c r="G647">
        <v>157</v>
      </c>
      <c r="H647">
        <v>220</v>
      </c>
      <c r="I647" t="str">
        <f>VLOOKUP(Call_Center_Data[[#This Row],[Emp ID]],Employee[],2,FALSE)</f>
        <v>Jill Simons</v>
      </c>
      <c r="J647" t="str">
        <f>VLOOKUP(Call_Center_Data[[#This Row],[Emp ID]], Employee[], 3, FALSE)</f>
        <v>Spokane, WA</v>
      </c>
      <c r="K647" t="str">
        <f>VLOOKUP(Call_Center_Data[[#This Row],[Emp ID]], Employee[], 4, FALSE)</f>
        <v>Jenny Rhodes</v>
      </c>
      <c r="L647" t="str">
        <f>VLOOKUP(Call_Center_Data[[#This Row],[Call Type ID]], Call_Type[], 2, FALSE)</f>
        <v>Tech Sup</v>
      </c>
    </row>
    <row r="648" spans="1:12" x14ac:dyDescent="0.3">
      <c r="A648">
        <v>647</v>
      </c>
      <c r="B648">
        <v>1</v>
      </c>
      <c r="C648" s="1">
        <v>45241</v>
      </c>
      <c r="D648" s="2" t="s">
        <v>87</v>
      </c>
      <c r="E648">
        <v>0</v>
      </c>
      <c r="F648">
        <v>23</v>
      </c>
      <c r="G648">
        <v>164</v>
      </c>
      <c r="H648">
        <v>191</v>
      </c>
      <c r="I648" t="str">
        <f>VLOOKUP(Call_Center_Data[[#This Row],[Emp ID]],Employee[],2,FALSE)</f>
        <v>Gina Saab</v>
      </c>
      <c r="J648" t="str">
        <f>VLOOKUP(Call_Center_Data[[#This Row],[Emp ID]], Employee[], 3, FALSE)</f>
        <v>Jacksonville, WA</v>
      </c>
      <c r="K648" t="str">
        <f>VLOOKUP(Call_Center_Data[[#This Row],[Emp ID]], Employee[], 4, FALSE)</f>
        <v>Jenny Gill</v>
      </c>
      <c r="L648" t="str">
        <f>VLOOKUP(Call_Center_Data[[#This Row],[Call Type ID]], Call_Type[], 2, FALSE)</f>
        <v>Billing</v>
      </c>
    </row>
    <row r="649" spans="1:12" x14ac:dyDescent="0.3">
      <c r="A649">
        <v>648</v>
      </c>
      <c r="B649">
        <v>2</v>
      </c>
      <c r="C649" s="1">
        <v>45242</v>
      </c>
      <c r="D649" s="2" t="s">
        <v>67</v>
      </c>
      <c r="E649">
        <v>0</v>
      </c>
      <c r="F649">
        <v>25</v>
      </c>
      <c r="G649">
        <v>142</v>
      </c>
      <c r="H649">
        <v>166</v>
      </c>
      <c r="I649" t="str">
        <f>VLOOKUP(Call_Center_Data[[#This Row],[Emp ID]],Employee[],2,FALSE)</f>
        <v>Tina Pat</v>
      </c>
      <c r="J649" t="str">
        <f>VLOOKUP(Call_Center_Data[[#This Row],[Emp ID]], Employee[], 3, FALSE)</f>
        <v>Jacksonville, WA</v>
      </c>
      <c r="K649" t="str">
        <f>VLOOKUP(Call_Center_Data[[#This Row],[Emp ID]], Employee[], 4, FALSE)</f>
        <v>John Hall</v>
      </c>
      <c r="L649" t="str">
        <f>VLOOKUP(Call_Center_Data[[#This Row],[Call Type ID]], Call_Type[], 2, FALSE)</f>
        <v>Sales</v>
      </c>
    </row>
    <row r="650" spans="1:12" x14ac:dyDescent="0.3">
      <c r="A650">
        <v>649</v>
      </c>
      <c r="B650">
        <v>3</v>
      </c>
      <c r="C650" s="1">
        <v>45243</v>
      </c>
      <c r="D650" s="2" t="s">
        <v>65</v>
      </c>
      <c r="E650">
        <v>0</v>
      </c>
      <c r="F650">
        <v>9</v>
      </c>
      <c r="G650">
        <v>157</v>
      </c>
      <c r="H650">
        <v>110</v>
      </c>
      <c r="I650" t="str">
        <f>VLOOKUP(Call_Center_Data[[#This Row],[Emp ID]],Employee[],2,FALSE)</f>
        <v>Ultor John</v>
      </c>
      <c r="J650" t="str">
        <f>VLOOKUP(Call_Center_Data[[#This Row],[Emp ID]], Employee[], 3, FALSE)</f>
        <v>Spokane, WA</v>
      </c>
      <c r="K650" t="str">
        <f>VLOOKUP(Call_Center_Data[[#This Row],[Emp ID]], Employee[], 4, FALSE)</f>
        <v>John Mack</v>
      </c>
      <c r="L650" t="str">
        <f>VLOOKUP(Call_Center_Data[[#This Row],[Call Type ID]], Call_Type[], 2, FALSE)</f>
        <v>Tech Sup</v>
      </c>
    </row>
    <row r="651" spans="1:12" x14ac:dyDescent="0.3">
      <c r="A651">
        <v>650</v>
      </c>
      <c r="B651">
        <v>1</v>
      </c>
      <c r="C651" s="1">
        <v>45244</v>
      </c>
      <c r="D651" s="2" t="s">
        <v>88</v>
      </c>
      <c r="E651">
        <v>1</v>
      </c>
      <c r="F651">
        <v>15</v>
      </c>
      <c r="G651">
        <v>129</v>
      </c>
      <c r="H651">
        <v>206</v>
      </c>
      <c r="I651" t="str">
        <f>VLOOKUP(Call_Center_Data[[#This Row],[Emp ID]],Employee[],2,FALSE)</f>
        <v>Gina Gilder</v>
      </c>
      <c r="J651" t="str">
        <f>VLOOKUP(Call_Center_Data[[#This Row],[Emp ID]], Employee[], 3, FALSE)</f>
        <v>Jacksonville, WA</v>
      </c>
      <c r="K651" t="str">
        <f>VLOOKUP(Call_Center_Data[[#This Row],[Emp ID]], Employee[], 4, FALSE)</f>
        <v>Pierce Rhodes</v>
      </c>
      <c r="L651" t="str">
        <f>VLOOKUP(Call_Center_Data[[#This Row],[Call Type ID]], Call_Type[], 2, FALSE)</f>
        <v>Billing</v>
      </c>
    </row>
    <row r="652" spans="1:12" x14ac:dyDescent="0.3">
      <c r="A652">
        <v>651</v>
      </c>
      <c r="B652">
        <v>3</v>
      </c>
      <c r="C652" s="1">
        <v>45245</v>
      </c>
      <c r="D652" s="2" t="s">
        <v>84</v>
      </c>
      <c r="E652">
        <v>0</v>
      </c>
      <c r="F652">
        <v>23</v>
      </c>
      <c r="G652">
        <v>156</v>
      </c>
      <c r="H652">
        <v>275</v>
      </c>
      <c r="I652" t="str">
        <f>VLOOKUP(Call_Center_Data[[#This Row],[Emp ID]],Employee[],2,FALSE)</f>
        <v>Sam John</v>
      </c>
      <c r="J652" t="str">
        <f>VLOOKUP(Call_Center_Data[[#This Row],[Emp ID]], Employee[], 3, FALSE)</f>
        <v>Aurora, CO</v>
      </c>
      <c r="K652" t="str">
        <f>VLOOKUP(Call_Center_Data[[#This Row],[Emp ID]], Employee[], 4, FALSE)</f>
        <v>Jenny Mack</v>
      </c>
      <c r="L652" t="str">
        <f>VLOOKUP(Call_Center_Data[[#This Row],[Call Type ID]], Call_Type[], 2, FALSE)</f>
        <v>Tech Sup</v>
      </c>
    </row>
    <row r="653" spans="1:12" x14ac:dyDescent="0.3">
      <c r="A653">
        <v>652</v>
      </c>
      <c r="B653">
        <v>3</v>
      </c>
      <c r="C653" s="1">
        <v>45246</v>
      </c>
      <c r="D653" s="2" t="s">
        <v>75</v>
      </c>
      <c r="E653">
        <v>1</v>
      </c>
      <c r="F653">
        <v>29</v>
      </c>
      <c r="G653">
        <v>160</v>
      </c>
      <c r="H653">
        <v>308</v>
      </c>
      <c r="I653" t="str">
        <f>VLOOKUP(Call_Center_Data[[#This Row],[Emp ID]],Employee[],2,FALSE)</f>
        <v>Gina Pat</v>
      </c>
      <c r="J653" t="str">
        <f>VLOOKUP(Call_Center_Data[[#This Row],[Emp ID]], Employee[], 3, FALSE)</f>
        <v>Spokane, WA</v>
      </c>
      <c r="K653" t="str">
        <f>VLOOKUP(Call_Center_Data[[#This Row],[Emp ID]], Employee[], 4, FALSE)</f>
        <v>Henry Hall</v>
      </c>
      <c r="L653" t="str">
        <f>VLOOKUP(Call_Center_Data[[#This Row],[Call Type ID]], Call_Type[], 2, FALSE)</f>
        <v>Tech Sup</v>
      </c>
    </row>
    <row r="654" spans="1:12" x14ac:dyDescent="0.3">
      <c r="A654">
        <v>653</v>
      </c>
      <c r="B654">
        <v>1</v>
      </c>
      <c r="C654" s="1">
        <v>45247</v>
      </c>
      <c r="D654" s="2" t="s">
        <v>75</v>
      </c>
      <c r="E654">
        <v>1</v>
      </c>
      <c r="F654">
        <v>21</v>
      </c>
      <c r="G654">
        <v>169</v>
      </c>
      <c r="H654">
        <v>165</v>
      </c>
      <c r="I654" t="str">
        <f>VLOOKUP(Call_Center_Data[[#This Row],[Emp ID]],Employee[],2,FALSE)</f>
        <v>Gina Pat</v>
      </c>
      <c r="J654" t="str">
        <f>VLOOKUP(Call_Center_Data[[#This Row],[Emp ID]], Employee[], 3, FALSE)</f>
        <v>Spokane, WA</v>
      </c>
      <c r="K654" t="str">
        <f>VLOOKUP(Call_Center_Data[[#This Row],[Emp ID]], Employee[], 4, FALSE)</f>
        <v>Henry Hall</v>
      </c>
      <c r="L654" t="str">
        <f>VLOOKUP(Call_Center_Data[[#This Row],[Call Type ID]], Call_Type[], 2, FALSE)</f>
        <v>Billing</v>
      </c>
    </row>
    <row r="655" spans="1:12" x14ac:dyDescent="0.3">
      <c r="A655">
        <v>654</v>
      </c>
      <c r="B655">
        <v>1</v>
      </c>
      <c r="C655" s="1">
        <v>45248</v>
      </c>
      <c r="D655" s="2" t="s">
        <v>72</v>
      </c>
      <c r="E655">
        <v>0</v>
      </c>
      <c r="F655">
        <v>18</v>
      </c>
      <c r="G655">
        <v>156</v>
      </c>
      <c r="H655">
        <v>330</v>
      </c>
      <c r="I655" t="str">
        <f>VLOOKUP(Call_Center_Data[[#This Row],[Emp ID]],Employee[],2,FALSE)</f>
        <v>Ultor Pat</v>
      </c>
      <c r="J655" t="str">
        <f>VLOOKUP(Call_Center_Data[[#This Row],[Emp ID]], Employee[], 3, FALSE)</f>
        <v>Jacksonville, WA</v>
      </c>
      <c r="K655" t="str">
        <f>VLOOKUP(Call_Center_Data[[#This Row],[Emp ID]], Employee[], 4, FALSE)</f>
        <v>Jenny Hall</v>
      </c>
      <c r="L655" t="str">
        <f>VLOOKUP(Call_Center_Data[[#This Row],[Call Type ID]], Call_Type[], 2, FALSE)</f>
        <v>Billing</v>
      </c>
    </row>
    <row r="656" spans="1:12" x14ac:dyDescent="0.3">
      <c r="A656">
        <v>655</v>
      </c>
      <c r="B656">
        <v>2</v>
      </c>
      <c r="C656" s="1">
        <v>45249</v>
      </c>
      <c r="D656" s="2" t="s">
        <v>84</v>
      </c>
      <c r="E656">
        <v>1</v>
      </c>
      <c r="F656">
        <v>30</v>
      </c>
      <c r="G656">
        <v>169</v>
      </c>
      <c r="H656">
        <v>220</v>
      </c>
      <c r="I656" t="str">
        <f>VLOOKUP(Call_Center_Data[[#This Row],[Emp ID]],Employee[],2,FALSE)</f>
        <v>Sam John</v>
      </c>
      <c r="J656" t="str">
        <f>VLOOKUP(Call_Center_Data[[#This Row],[Emp ID]], Employee[], 3, FALSE)</f>
        <v>Aurora, CO</v>
      </c>
      <c r="K656" t="str">
        <f>VLOOKUP(Call_Center_Data[[#This Row],[Emp ID]], Employee[], 4, FALSE)</f>
        <v>Jenny Mack</v>
      </c>
      <c r="L656" t="str">
        <f>VLOOKUP(Call_Center_Data[[#This Row],[Call Type ID]], Call_Type[], 2, FALSE)</f>
        <v>Sales</v>
      </c>
    </row>
    <row r="657" spans="1:12" x14ac:dyDescent="0.3">
      <c r="A657">
        <v>656</v>
      </c>
      <c r="B657">
        <v>1</v>
      </c>
      <c r="C657" s="1">
        <v>45250</v>
      </c>
      <c r="D657" s="2" t="s">
        <v>81</v>
      </c>
      <c r="E657">
        <v>1</v>
      </c>
      <c r="F657">
        <v>24</v>
      </c>
      <c r="G657">
        <v>165</v>
      </c>
      <c r="H657">
        <v>72</v>
      </c>
      <c r="I657" t="str">
        <f>VLOOKUP(Call_Center_Data[[#This Row],[Emp ID]],Employee[],2,FALSE)</f>
        <v>Sam Simons</v>
      </c>
      <c r="J657" t="str">
        <f>VLOOKUP(Call_Center_Data[[#This Row],[Emp ID]], Employee[], 3, FALSE)</f>
        <v>Jacksonville, WA</v>
      </c>
      <c r="K657" t="str">
        <f>VLOOKUP(Call_Center_Data[[#This Row],[Emp ID]], Employee[], 4, FALSE)</f>
        <v>John Baas</v>
      </c>
      <c r="L657" t="str">
        <f>VLOOKUP(Call_Center_Data[[#This Row],[Call Type ID]], Call_Type[], 2, FALSE)</f>
        <v>Billing</v>
      </c>
    </row>
    <row r="658" spans="1:12" x14ac:dyDescent="0.3">
      <c r="A658">
        <v>657</v>
      </c>
      <c r="B658">
        <v>3</v>
      </c>
      <c r="C658" s="1">
        <v>45251</v>
      </c>
      <c r="D658" s="2" t="s">
        <v>88</v>
      </c>
      <c r="E658">
        <v>1</v>
      </c>
      <c r="F658">
        <v>23</v>
      </c>
      <c r="G658">
        <v>163</v>
      </c>
      <c r="H658">
        <v>164</v>
      </c>
      <c r="I658" t="str">
        <f>VLOOKUP(Call_Center_Data[[#This Row],[Emp ID]],Employee[],2,FALSE)</f>
        <v>Gina Gilder</v>
      </c>
      <c r="J658" t="str">
        <f>VLOOKUP(Call_Center_Data[[#This Row],[Emp ID]], Employee[], 3, FALSE)</f>
        <v>Jacksonville, WA</v>
      </c>
      <c r="K658" t="str">
        <f>VLOOKUP(Call_Center_Data[[#This Row],[Emp ID]], Employee[], 4, FALSE)</f>
        <v>Pierce Rhodes</v>
      </c>
      <c r="L658" t="str">
        <f>VLOOKUP(Call_Center_Data[[#This Row],[Call Type ID]], Call_Type[], 2, FALSE)</f>
        <v>Tech Sup</v>
      </c>
    </row>
    <row r="659" spans="1:12" x14ac:dyDescent="0.3">
      <c r="A659">
        <v>658</v>
      </c>
      <c r="B659">
        <v>1</v>
      </c>
      <c r="C659" s="1">
        <v>45252</v>
      </c>
      <c r="D659" s="2" t="s">
        <v>70</v>
      </c>
      <c r="E659">
        <v>1</v>
      </c>
      <c r="F659">
        <v>22</v>
      </c>
      <c r="G659">
        <v>161</v>
      </c>
      <c r="H659">
        <v>269</v>
      </c>
      <c r="I659" t="str">
        <f>VLOOKUP(Call_Center_Data[[#This Row],[Emp ID]],Employee[],2,FALSE)</f>
        <v>Jill Pat</v>
      </c>
      <c r="J659" t="str">
        <f>VLOOKUP(Call_Center_Data[[#This Row],[Emp ID]], Employee[], 3, FALSE)</f>
        <v>Aurora, CO</v>
      </c>
      <c r="K659" t="str">
        <f>VLOOKUP(Call_Center_Data[[#This Row],[Emp ID]], Employee[], 4, FALSE)</f>
        <v>Henry Rhodes</v>
      </c>
      <c r="L659" t="str">
        <f>VLOOKUP(Call_Center_Data[[#This Row],[Call Type ID]], Call_Type[], 2, FALSE)</f>
        <v>Billing</v>
      </c>
    </row>
    <row r="660" spans="1:12" x14ac:dyDescent="0.3">
      <c r="A660">
        <v>659</v>
      </c>
      <c r="B660">
        <v>3</v>
      </c>
      <c r="C660" s="1">
        <v>45253</v>
      </c>
      <c r="D660" s="2" t="s">
        <v>65</v>
      </c>
      <c r="E660">
        <v>0</v>
      </c>
      <c r="F660">
        <v>12</v>
      </c>
      <c r="G660">
        <v>159</v>
      </c>
      <c r="H660">
        <v>120</v>
      </c>
      <c r="I660" t="str">
        <f>VLOOKUP(Call_Center_Data[[#This Row],[Emp ID]],Employee[],2,FALSE)</f>
        <v>Ultor John</v>
      </c>
      <c r="J660" t="str">
        <f>VLOOKUP(Call_Center_Data[[#This Row],[Emp ID]], Employee[], 3, FALSE)</f>
        <v>Spokane, WA</v>
      </c>
      <c r="K660" t="str">
        <f>VLOOKUP(Call_Center_Data[[#This Row],[Emp ID]], Employee[], 4, FALSE)</f>
        <v>John Mack</v>
      </c>
      <c r="L660" t="str">
        <f>VLOOKUP(Call_Center_Data[[#This Row],[Call Type ID]], Call_Type[], 2, FALSE)</f>
        <v>Tech Sup</v>
      </c>
    </row>
    <row r="661" spans="1:12" x14ac:dyDescent="0.3">
      <c r="A661">
        <v>660</v>
      </c>
      <c r="B661">
        <v>1</v>
      </c>
      <c r="C661" s="1">
        <v>45254</v>
      </c>
      <c r="D661" s="2" t="s">
        <v>64</v>
      </c>
      <c r="E661">
        <v>0</v>
      </c>
      <c r="F661">
        <v>21</v>
      </c>
      <c r="G661">
        <v>171</v>
      </c>
      <c r="H661">
        <v>159</v>
      </c>
      <c r="I661" t="str">
        <f>VLOOKUP(Call_Center_Data[[#This Row],[Emp ID]],Employee[],2,FALSE)</f>
        <v>Jill Simons</v>
      </c>
      <c r="J661" t="str">
        <f>VLOOKUP(Call_Center_Data[[#This Row],[Emp ID]], Employee[], 3, FALSE)</f>
        <v>Spokane, WA</v>
      </c>
      <c r="K661" t="str">
        <f>VLOOKUP(Call_Center_Data[[#This Row],[Emp ID]], Employee[], 4, FALSE)</f>
        <v>Jenny Rhodes</v>
      </c>
      <c r="L661" t="str">
        <f>VLOOKUP(Call_Center_Data[[#This Row],[Call Type ID]], Call_Type[], 2, FALSE)</f>
        <v>Billing</v>
      </c>
    </row>
    <row r="662" spans="1:12" x14ac:dyDescent="0.3">
      <c r="A662">
        <v>661</v>
      </c>
      <c r="B662">
        <v>2</v>
      </c>
      <c r="C662" s="1">
        <v>45255</v>
      </c>
      <c r="D662" s="2" t="s">
        <v>68</v>
      </c>
      <c r="E662">
        <v>1</v>
      </c>
      <c r="F662">
        <v>13</v>
      </c>
      <c r="G662">
        <v>155</v>
      </c>
      <c r="H662">
        <v>146</v>
      </c>
      <c r="I662" t="str">
        <f>VLOOKUP(Call_Center_Data[[#This Row],[Emp ID]],Employee[],2,FALSE)</f>
        <v>Tina Saab</v>
      </c>
      <c r="J662" t="str">
        <f>VLOOKUP(Call_Center_Data[[#This Row],[Emp ID]], Employee[], 3, FALSE)</f>
        <v>Spokane, WA</v>
      </c>
      <c r="K662" t="str">
        <f>VLOOKUP(Call_Center_Data[[#This Row],[Emp ID]], Employee[], 4, FALSE)</f>
        <v>Henry Baas</v>
      </c>
      <c r="L662" t="str">
        <f>VLOOKUP(Call_Center_Data[[#This Row],[Call Type ID]], Call_Type[], 2, FALSE)</f>
        <v>Sales</v>
      </c>
    </row>
    <row r="663" spans="1:12" x14ac:dyDescent="0.3">
      <c r="A663">
        <v>662</v>
      </c>
      <c r="B663">
        <v>2</v>
      </c>
      <c r="C663" s="1">
        <v>45256</v>
      </c>
      <c r="D663" s="2" t="s">
        <v>83</v>
      </c>
      <c r="E663">
        <v>0</v>
      </c>
      <c r="F663">
        <v>13</v>
      </c>
      <c r="G663">
        <v>164</v>
      </c>
      <c r="H663">
        <v>140</v>
      </c>
      <c r="I663" t="str">
        <f>VLOOKUP(Call_Center_Data[[#This Row],[Emp ID]],Employee[],2,FALSE)</f>
        <v>Ultor Simons</v>
      </c>
      <c r="J663" t="str">
        <f>VLOOKUP(Call_Center_Data[[#This Row],[Emp ID]], Employee[], 3, FALSE)</f>
        <v>Jacksonville, WA</v>
      </c>
      <c r="K663" t="str">
        <f>VLOOKUP(Call_Center_Data[[#This Row],[Emp ID]], Employee[], 4, FALSE)</f>
        <v>Pierce Hall</v>
      </c>
      <c r="L663" t="str">
        <f>VLOOKUP(Call_Center_Data[[#This Row],[Call Type ID]], Call_Type[], 2, FALSE)</f>
        <v>Sales</v>
      </c>
    </row>
    <row r="664" spans="1:12" x14ac:dyDescent="0.3">
      <c r="A664">
        <v>663</v>
      </c>
      <c r="B664">
        <v>2</v>
      </c>
      <c r="C664" s="1">
        <v>45257</v>
      </c>
      <c r="D664" s="2" t="s">
        <v>83</v>
      </c>
      <c r="E664">
        <v>1</v>
      </c>
      <c r="F664">
        <v>11</v>
      </c>
      <c r="G664">
        <v>131</v>
      </c>
      <c r="H664">
        <v>104</v>
      </c>
      <c r="I664" t="str">
        <f>VLOOKUP(Call_Center_Data[[#This Row],[Emp ID]],Employee[],2,FALSE)</f>
        <v>Ultor Simons</v>
      </c>
      <c r="J664" t="str">
        <f>VLOOKUP(Call_Center_Data[[#This Row],[Emp ID]], Employee[], 3, FALSE)</f>
        <v>Jacksonville, WA</v>
      </c>
      <c r="K664" t="str">
        <f>VLOOKUP(Call_Center_Data[[#This Row],[Emp ID]], Employee[], 4, FALSE)</f>
        <v>Pierce Hall</v>
      </c>
      <c r="L664" t="str">
        <f>VLOOKUP(Call_Center_Data[[#This Row],[Call Type ID]], Call_Type[], 2, FALSE)</f>
        <v>Sales</v>
      </c>
    </row>
    <row r="665" spans="1:12" x14ac:dyDescent="0.3">
      <c r="A665">
        <v>664</v>
      </c>
      <c r="B665">
        <v>2</v>
      </c>
      <c r="C665" s="1">
        <v>45258</v>
      </c>
      <c r="D665" s="2" t="s">
        <v>69</v>
      </c>
      <c r="E665">
        <v>0</v>
      </c>
      <c r="F665">
        <v>12</v>
      </c>
      <c r="G665">
        <v>158</v>
      </c>
      <c r="H665">
        <v>82</v>
      </c>
      <c r="I665" t="str">
        <f>VLOOKUP(Call_Center_Data[[#This Row],[Emp ID]],Employee[],2,FALSE)</f>
        <v>Sam Gilder</v>
      </c>
      <c r="J665" t="str">
        <f>VLOOKUP(Call_Center_Data[[#This Row],[Emp ID]], Employee[], 3, FALSE)</f>
        <v>Jacksonville, WA</v>
      </c>
      <c r="K665" t="str">
        <f>VLOOKUP(Call_Center_Data[[#This Row],[Emp ID]], Employee[], 4, FALSE)</f>
        <v>Timmy Hall</v>
      </c>
      <c r="L665" t="str">
        <f>VLOOKUP(Call_Center_Data[[#This Row],[Call Type ID]], Call_Type[], 2, FALSE)</f>
        <v>Sales</v>
      </c>
    </row>
    <row r="666" spans="1:12" x14ac:dyDescent="0.3">
      <c r="A666">
        <v>665</v>
      </c>
      <c r="B666">
        <v>3</v>
      </c>
      <c r="C666" s="1">
        <v>45259</v>
      </c>
      <c r="D666" s="2" t="s">
        <v>70</v>
      </c>
      <c r="E666">
        <v>0</v>
      </c>
      <c r="F666">
        <v>6</v>
      </c>
      <c r="G666">
        <v>129</v>
      </c>
      <c r="H666">
        <v>57</v>
      </c>
      <c r="I666" t="str">
        <f>VLOOKUP(Call_Center_Data[[#This Row],[Emp ID]],Employee[],2,FALSE)</f>
        <v>Jill Pat</v>
      </c>
      <c r="J666" t="str">
        <f>VLOOKUP(Call_Center_Data[[#This Row],[Emp ID]], Employee[], 3, FALSE)</f>
        <v>Aurora, CO</v>
      </c>
      <c r="K666" t="str">
        <f>VLOOKUP(Call_Center_Data[[#This Row],[Emp ID]], Employee[], 4, FALSE)</f>
        <v>Henry Rhodes</v>
      </c>
      <c r="L666" t="str">
        <f>VLOOKUP(Call_Center_Data[[#This Row],[Call Type ID]], Call_Type[], 2, FALSE)</f>
        <v>Tech Sup</v>
      </c>
    </row>
    <row r="667" spans="1:12" x14ac:dyDescent="0.3">
      <c r="A667">
        <v>666</v>
      </c>
      <c r="B667">
        <v>2</v>
      </c>
      <c r="C667" s="1">
        <v>45260</v>
      </c>
      <c r="D667" s="2" t="s">
        <v>87</v>
      </c>
      <c r="E667">
        <v>1</v>
      </c>
      <c r="F667">
        <v>7</v>
      </c>
      <c r="G667">
        <v>150</v>
      </c>
      <c r="H667">
        <v>165</v>
      </c>
      <c r="I667" t="str">
        <f>VLOOKUP(Call_Center_Data[[#This Row],[Emp ID]],Employee[],2,FALSE)</f>
        <v>Gina Saab</v>
      </c>
      <c r="J667" t="str">
        <f>VLOOKUP(Call_Center_Data[[#This Row],[Emp ID]], Employee[], 3, FALSE)</f>
        <v>Jacksonville, WA</v>
      </c>
      <c r="K667" t="str">
        <f>VLOOKUP(Call_Center_Data[[#This Row],[Emp ID]], Employee[], 4, FALSE)</f>
        <v>Jenny Gill</v>
      </c>
      <c r="L667" t="str">
        <f>VLOOKUP(Call_Center_Data[[#This Row],[Call Type ID]], Call_Type[], 2, FALSE)</f>
        <v>Sales</v>
      </c>
    </row>
    <row r="668" spans="1:12" x14ac:dyDescent="0.3">
      <c r="A668">
        <v>667</v>
      </c>
      <c r="B668">
        <v>2</v>
      </c>
      <c r="C668" s="1">
        <v>45261</v>
      </c>
      <c r="D668" s="2" t="s">
        <v>70</v>
      </c>
      <c r="E668">
        <v>0</v>
      </c>
      <c r="F668">
        <v>7</v>
      </c>
      <c r="G668">
        <v>157</v>
      </c>
      <c r="H668">
        <v>55</v>
      </c>
      <c r="I668" t="str">
        <f>VLOOKUP(Call_Center_Data[[#This Row],[Emp ID]],Employee[],2,FALSE)</f>
        <v>Jill Pat</v>
      </c>
      <c r="J668" t="str">
        <f>VLOOKUP(Call_Center_Data[[#This Row],[Emp ID]], Employee[], 3, FALSE)</f>
        <v>Aurora, CO</v>
      </c>
      <c r="K668" t="str">
        <f>VLOOKUP(Call_Center_Data[[#This Row],[Emp ID]], Employee[], 4, FALSE)</f>
        <v>Henry Rhodes</v>
      </c>
      <c r="L668" t="str">
        <f>VLOOKUP(Call_Center_Data[[#This Row],[Call Type ID]], Call_Type[], 2, FALSE)</f>
        <v>Sales</v>
      </c>
    </row>
    <row r="669" spans="1:12" x14ac:dyDescent="0.3">
      <c r="A669">
        <v>668</v>
      </c>
      <c r="B669">
        <v>3</v>
      </c>
      <c r="C669" s="1">
        <v>45262</v>
      </c>
      <c r="D669" s="2" t="s">
        <v>84</v>
      </c>
      <c r="E669">
        <v>0</v>
      </c>
      <c r="F669">
        <v>9</v>
      </c>
      <c r="G669">
        <v>159</v>
      </c>
      <c r="H669">
        <v>110</v>
      </c>
      <c r="I669" t="str">
        <f>VLOOKUP(Call_Center_Data[[#This Row],[Emp ID]],Employee[],2,FALSE)</f>
        <v>Sam John</v>
      </c>
      <c r="J669" t="str">
        <f>VLOOKUP(Call_Center_Data[[#This Row],[Emp ID]], Employee[], 3, FALSE)</f>
        <v>Aurora, CO</v>
      </c>
      <c r="K669" t="str">
        <f>VLOOKUP(Call_Center_Data[[#This Row],[Emp ID]], Employee[], 4, FALSE)</f>
        <v>Jenny Mack</v>
      </c>
      <c r="L669" t="str">
        <f>VLOOKUP(Call_Center_Data[[#This Row],[Call Type ID]], Call_Type[], 2, FALSE)</f>
        <v>Tech Sup</v>
      </c>
    </row>
    <row r="670" spans="1:12" x14ac:dyDescent="0.3">
      <c r="A670">
        <v>669</v>
      </c>
      <c r="B670">
        <v>2</v>
      </c>
      <c r="C670" s="1">
        <v>45263</v>
      </c>
      <c r="D670" s="2" t="s">
        <v>75</v>
      </c>
      <c r="E670">
        <v>0</v>
      </c>
      <c r="F670">
        <v>23</v>
      </c>
      <c r="G670">
        <v>133</v>
      </c>
      <c r="H670">
        <v>317</v>
      </c>
      <c r="I670" t="str">
        <f>VLOOKUP(Call_Center_Data[[#This Row],[Emp ID]],Employee[],2,FALSE)</f>
        <v>Gina Pat</v>
      </c>
      <c r="J670" t="str">
        <f>VLOOKUP(Call_Center_Data[[#This Row],[Emp ID]], Employee[], 3, FALSE)</f>
        <v>Spokane, WA</v>
      </c>
      <c r="K670" t="str">
        <f>VLOOKUP(Call_Center_Data[[#This Row],[Emp ID]], Employee[], 4, FALSE)</f>
        <v>Henry Hall</v>
      </c>
      <c r="L670" t="str">
        <f>VLOOKUP(Call_Center_Data[[#This Row],[Call Type ID]], Call_Type[], 2, FALSE)</f>
        <v>Sales</v>
      </c>
    </row>
    <row r="671" spans="1:12" x14ac:dyDescent="0.3">
      <c r="A671">
        <v>670</v>
      </c>
      <c r="B671">
        <v>1</v>
      </c>
      <c r="C671" s="1">
        <v>45264</v>
      </c>
      <c r="D671" s="2" t="s">
        <v>77</v>
      </c>
      <c r="E671">
        <v>1</v>
      </c>
      <c r="F671">
        <v>9</v>
      </c>
      <c r="G671">
        <v>155</v>
      </c>
      <c r="H671">
        <v>110</v>
      </c>
      <c r="I671" t="str">
        <f>VLOOKUP(Call_Center_Data[[#This Row],[Emp ID]],Employee[],2,FALSE)</f>
        <v>Sam Saab</v>
      </c>
      <c r="J671" t="str">
        <f>VLOOKUP(Call_Center_Data[[#This Row],[Emp ID]], Employee[], 3, FALSE)</f>
        <v>Aurora, CO</v>
      </c>
      <c r="K671" t="str">
        <f>VLOOKUP(Call_Center_Data[[#This Row],[Emp ID]], Employee[], 4, FALSE)</f>
        <v>Timmy Mack</v>
      </c>
      <c r="L671" t="str">
        <f>VLOOKUP(Call_Center_Data[[#This Row],[Call Type ID]], Call_Type[], 2, FALSE)</f>
        <v>Billing</v>
      </c>
    </row>
    <row r="672" spans="1:12" x14ac:dyDescent="0.3">
      <c r="A672">
        <v>671</v>
      </c>
      <c r="B672">
        <v>3</v>
      </c>
      <c r="C672" s="1">
        <v>45265</v>
      </c>
      <c r="D672" s="2" t="s">
        <v>76</v>
      </c>
      <c r="E672">
        <v>1</v>
      </c>
      <c r="F672">
        <v>12</v>
      </c>
      <c r="G672">
        <v>159</v>
      </c>
      <c r="H672">
        <v>152</v>
      </c>
      <c r="I672" t="str">
        <f>VLOOKUP(Call_Center_Data[[#This Row],[Emp ID]],Employee[],2,FALSE)</f>
        <v>Ultor Saab</v>
      </c>
      <c r="J672" t="str">
        <f>VLOOKUP(Call_Center_Data[[#This Row],[Emp ID]], Employee[], 3, FALSE)</f>
        <v>Aurora, CO</v>
      </c>
      <c r="K672" t="str">
        <f>VLOOKUP(Call_Center_Data[[#This Row],[Emp ID]], Employee[], 4, FALSE)</f>
        <v>Pierce Baas</v>
      </c>
      <c r="L672" t="str">
        <f>VLOOKUP(Call_Center_Data[[#This Row],[Call Type ID]], Call_Type[], 2, FALSE)</f>
        <v>Tech Sup</v>
      </c>
    </row>
    <row r="673" spans="1:12" x14ac:dyDescent="0.3">
      <c r="A673">
        <v>672</v>
      </c>
      <c r="B673">
        <v>1</v>
      </c>
      <c r="C673" s="1">
        <v>45266</v>
      </c>
      <c r="D673" s="2" t="s">
        <v>68</v>
      </c>
      <c r="E673">
        <v>0</v>
      </c>
      <c r="F673">
        <v>17</v>
      </c>
      <c r="G673">
        <v>142</v>
      </c>
      <c r="H673">
        <v>293</v>
      </c>
      <c r="I673" t="str">
        <f>VLOOKUP(Call_Center_Data[[#This Row],[Emp ID]],Employee[],2,FALSE)</f>
        <v>Tina Saab</v>
      </c>
      <c r="J673" t="str">
        <f>VLOOKUP(Call_Center_Data[[#This Row],[Emp ID]], Employee[], 3, FALSE)</f>
        <v>Spokane, WA</v>
      </c>
      <c r="K673" t="str">
        <f>VLOOKUP(Call_Center_Data[[#This Row],[Emp ID]], Employee[], 4, FALSE)</f>
        <v>Henry Baas</v>
      </c>
      <c r="L673" t="str">
        <f>VLOOKUP(Call_Center_Data[[#This Row],[Call Type ID]], Call_Type[], 2, FALSE)</f>
        <v>Billing</v>
      </c>
    </row>
    <row r="674" spans="1:12" x14ac:dyDescent="0.3">
      <c r="A674">
        <v>673</v>
      </c>
      <c r="B674">
        <v>1</v>
      </c>
      <c r="C674" s="1">
        <v>45267</v>
      </c>
      <c r="D674" s="2" t="s">
        <v>78</v>
      </c>
      <c r="E674">
        <v>0</v>
      </c>
      <c r="F674">
        <v>10</v>
      </c>
      <c r="G674">
        <v>160</v>
      </c>
      <c r="H674">
        <v>98</v>
      </c>
      <c r="I674" t="str">
        <f>VLOOKUP(Call_Center_Data[[#This Row],[Emp ID]],Employee[],2,FALSE)</f>
        <v>Jill Saab</v>
      </c>
      <c r="J674" t="str">
        <f>VLOOKUP(Call_Center_Data[[#This Row],[Emp ID]], Employee[], 3, FALSE)</f>
        <v>Spokane, WA</v>
      </c>
      <c r="K674" t="str">
        <f>VLOOKUP(Call_Center_Data[[#This Row],[Emp ID]], Employee[], 4, FALSE)</f>
        <v>Timmy Gill</v>
      </c>
      <c r="L674" t="str">
        <f>VLOOKUP(Call_Center_Data[[#This Row],[Call Type ID]], Call_Type[], 2, FALSE)</f>
        <v>Billing</v>
      </c>
    </row>
    <row r="675" spans="1:12" x14ac:dyDescent="0.3">
      <c r="A675">
        <v>674</v>
      </c>
      <c r="B675">
        <v>1</v>
      </c>
      <c r="C675" s="1">
        <v>45268</v>
      </c>
      <c r="D675" s="2" t="s">
        <v>66</v>
      </c>
      <c r="E675">
        <v>0</v>
      </c>
      <c r="F675">
        <v>11</v>
      </c>
      <c r="G675">
        <v>145</v>
      </c>
      <c r="H675">
        <v>108</v>
      </c>
      <c r="I675" t="str">
        <f>VLOOKUP(Call_Center_Data[[#This Row],[Emp ID]],Employee[],2,FALSE)</f>
        <v>Tina John</v>
      </c>
      <c r="J675" t="str">
        <f>VLOOKUP(Call_Center_Data[[#This Row],[Emp ID]], Employee[], 3, FALSE)</f>
        <v>Aurora, CO</v>
      </c>
      <c r="K675" t="str">
        <f>VLOOKUP(Call_Center_Data[[#This Row],[Emp ID]], Employee[], 4, FALSE)</f>
        <v>Timmy Rhodes</v>
      </c>
      <c r="L675" t="str">
        <f>VLOOKUP(Call_Center_Data[[#This Row],[Call Type ID]], Call_Type[], 2, FALSE)</f>
        <v>Billing</v>
      </c>
    </row>
    <row r="676" spans="1:12" x14ac:dyDescent="0.3">
      <c r="A676">
        <v>675</v>
      </c>
      <c r="B676">
        <v>2</v>
      </c>
      <c r="C676" s="1">
        <v>45269</v>
      </c>
      <c r="D676" s="2" t="s">
        <v>69</v>
      </c>
      <c r="E676">
        <v>1</v>
      </c>
      <c r="F676">
        <v>6</v>
      </c>
      <c r="G676">
        <v>154</v>
      </c>
      <c r="H676">
        <v>58</v>
      </c>
      <c r="I676" t="str">
        <f>VLOOKUP(Call_Center_Data[[#This Row],[Emp ID]],Employee[],2,FALSE)</f>
        <v>Sam Gilder</v>
      </c>
      <c r="J676" t="str">
        <f>VLOOKUP(Call_Center_Data[[#This Row],[Emp ID]], Employee[], 3, FALSE)</f>
        <v>Jacksonville, WA</v>
      </c>
      <c r="K676" t="str">
        <f>VLOOKUP(Call_Center_Data[[#This Row],[Emp ID]], Employee[], 4, FALSE)</f>
        <v>Timmy Hall</v>
      </c>
      <c r="L676" t="str">
        <f>VLOOKUP(Call_Center_Data[[#This Row],[Call Type ID]], Call_Type[], 2, FALSE)</f>
        <v>Sales</v>
      </c>
    </row>
    <row r="677" spans="1:12" x14ac:dyDescent="0.3">
      <c r="A677">
        <v>676</v>
      </c>
      <c r="B677">
        <v>2</v>
      </c>
      <c r="C677" s="1">
        <v>45270</v>
      </c>
      <c r="D677" s="2" t="s">
        <v>86</v>
      </c>
      <c r="E677">
        <v>1</v>
      </c>
      <c r="F677">
        <v>14</v>
      </c>
      <c r="G677">
        <v>156</v>
      </c>
      <c r="H677">
        <v>176</v>
      </c>
      <c r="I677" t="str">
        <f>VLOOKUP(Call_Center_Data[[#This Row],[Emp ID]],Employee[],2,FALSE)</f>
        <v>Jill Gilder</v>
      </c>
      <c r="J677" t="str">
        <f>VLOOKUP(Call_Center_Data[[#This Row],[Emp ID]], Employee[], 3, FALSE)</f>
        <v>Aurora, CO</v>
      </c>
      <c r="K677" t="str">
        <f>VLOOKUP(Call_Center_Data[[#This Row],[Emp ID]], Employee[], 4, FALSE)</f>
        <v>Jenny Baas</v>
      </c>
      <c r="L677" t="str">
        <f>VLOOKUP(Call_Center_Data[[#This Row],[Call Type ID]], Call_Type[], 2, FALSE)</f>
        <v>Sales</v>
      </c>
    </row>
    <row r="678" spans="1:12" x14ac:dyDescent="0.3">
      <c r="A678">
        <v>677</v>
      </c>
      <c r="B678">
        <v>1</v>
      </c>
      <c r="C678" s="1">
        <v>45271</v>
      </c>
      <c r="D678" s="2" t="s">
        <v>85</v>
      </c>
      <c r="E678">
        <v>0</v>
      </c>
      <c r="F678">
        <v>15</v>
      </c>
      <c r="G678">
        <v>173</v>
      </c>
      <c r="H678">
        <v>101</v>
      </c>
      <c r="I678" t="str">
        <f>VLOOKUP(Call_Center_Data[[#This Row],[Emp ID]],Employee[],2,FALSE)</f>
        <v>Tina Gilder</v>
      </c>
      <c r="J678" t="str">
        <f>VLOOKUP(Call_Center_Data[[#This Row],[Emp ID]], Employee[], 3, FALSE)</f>
        <v>Spokane, WA</v>
      </c>
      <c r="K678" t="str">
        <f>VLOOKUP(Call_Center_Data[[#This Row],[Emp ID]], Employee[], 4, FALSE)</f>
        <v>Timmy Baas</v>
      </c>
      <c r="L678" t="str">
        <f>VLOOKUP(Call_Center_Data[[#This Row],[Call Type ID]], Call_Type[], 2, FALSE)</f>
        <v>Billing</v>
      </c>
    </row>
    <row r="679" spans="1:12" x14ac:dyDescent="0.3">
      <c r="A679">
        <v>678</v>
      </c>
      <c r="B679">
        <v>1</v>
      </c>
      <c r="C679" s="1">
        <v>45272</v>
      </c>
      <c r="D679" s="2" t="s">
        <v>70</v>
      </c>
      <c r="E679">
        <v>0</v>
      </c>
      <c r="F679">
        <v>14</v>
      </c>
      <c r="G679">
        <v>146</v>
      </c>
      <c r="H679">
        <v>203</v>
      </c>
      <c r="I679" t="str">
        <f>VLOOKUP(Call_Center_Data[[#This Row],[Emp ID]],Employee[],2,FALSE)</f>
        <v>Jill Pat</v>
      </c>
      <c r="J679" t="str">
        <f>VLOOKUP(Call_Center_Data[[#This Row],[Emp ID]], Employee[], 3, FALSE)</f>
        <v>Aurora, CO</v>
      </c>
      <c r="K679" t="str">
        <f>VLOOKUP(Call_Center_Data[[#This Row],[Emp ID]], Employee[], 4, FALSE)</f>
        <v>Henry Rhodes</v>
      </c>
      <c r="L679" t="str">
        <f>VLOOKUP(Call_Center_Data[[#This Row],[Call Type ID]], Call_Type[], 2, FALSE)</f>
        <v>Billing</v>
      </c>
    </row>
    <row r="680" spans="1:12" x14ac:dyDescent="0.3">
      <c r="A680">
        <v>679</v>
      </c>
      <c r="B680">
        <v>1</v>
      </c>
      <c r="C680" s="1">
        <v>45273</v>
      </c>
      <c r="D680" s="2" t="s">
        <v>69</v>
      </c>
      <c r="E680">
        <v>0</v>
      </c>
      <c r="F680">
        <v>16</v>
      </c>
      <c r="G680">
        <v>161</v>
      </c>
      <c r="H680">
        <v>132</v>
      </c>
      <c r="I680" t="str">
        <f>VLOOKUP(Call_Center_Data[[#This Row],[Emp ID]],Employee[],2,FALSE)</f>
        <v>Sam Gilder</v>
      </c>
      <c r="J680" t="str">
        <f>VLOOKUP(Call_Center_Data[[#This Row],[Emp ID]], Employee[], 3, FALSE)</f>
        <v>Jacksonville, WA</v>
      </c>
      <c r="K680" t="str">
        <f>VLOOKUP(Call_Center_Data[[#This Row],[Emp ID]], Employee[], 4, FALSE)</f>
        <v>Timmy Hall</v>
      </c>
      <c r="L680" t="str">
        <f>VLOOKUP(Call_Center_Data[[#This Row],[Call Type ID]], Call_Type[], 2, FALSE)</f>
        <v>Billing</v>
      </c>
    </row>
    <row r="681" spans="1:12" x14ac:dyDescent="0.3">
      <c r="A681">
        <v>680</v>
      </c>
      <c r="B681">
        <v>3</v>
      </c>
      <c r="C681" s="1">
        <v>45274</v>
      </c>
      <c r="D681" s="2" t="s">
        <v>79</v>
      </c>
      <c r="E681">
        <v>1</v>
      </c>
      <c r="F681">
        <v>14</v>
      </c>
      <c r="G681">
        <v>148</v>
      </c>
      <c r="H681">
        <v>137</v>
      </c>
      <c r="I681" t="str">
        <f>VLOOKUP(Call_Center_Data[[#This Row],[Emp ID]],Employee[],2,FALSE)</f>
        <v>Gina Simons</v>
      </c>
      <c r="J681" t="str">
        <f>VLOOKUP(Call_Center_Data[[#This Row],[Emp ID]], Employee[], 3, FALSE)</f>
        <v>Spokane, WA</v>
      </c>
      <c r="K681" t="str">
        <f>VLOOKUP(Call_Center_Data[[#This Row],[Emp ID]], Employee[], 4, FALSE)</f>
        <v>John Rhodes</v>
      </c>
      <c r="L681" t="str">
        <f>VLOOKUP(Call_Center_Data[[#This Row],[Call Type ID]], Call_Type[], 2, FALSE)</f>
        <v>Tech Sup</v>
      </c>
    </row>
    <row r="682" spans="1:12" x14ac:dyDescent="0.3">
      <c r="A682">
        <v>681</v>
      </c>
      <c r="B682">
        <v>1</v>
      </c>
      <c r="C682" s="1">
        <v>45275</v>
      </c>
      <c r="D682" s="2" t="s">
        <v>67</v>
      </c>
      <c r="E682">
        <v>1</v>
      </c>
      <c r="F682">
        <v>19</v>
      </c>
      <c r="G682">
        <v>159</v>
      </c>
      <c r="H682">
        <v>164</v>
      </c>
      <c r="I682" t="str">
        <f>VLOOKUP(Call_Center_Data[[#This Row],[Emp ID]],Employee[],2,FALSE)</f>
        <v>Tina Pat</v>
      </c>
      <c r="J682" t="str">
        <f>VLOOKUP(Call_Center_Data[[#This Row],[Emp ID]], Employee[], 3, FALSE)</f>
        <v>Jacksonville, WA</v>
      </c>
      <c r="K682" t="str">
        <f>VLOOKUP(Call_Center_Data[[#This Row],[Emp ID]], Employee[], 4, FALSE)</f>
        <v>John Hall</v>
      </c>
      <c r="L682" t="str">
        <f>VLOOKUP(Call_Center_Data[[#This Row],[Call Type ID]], Call_Type[], 2, FALSE)</f>
        <v>Billing</v>
      </c>
    </row>
    <row r="683" spans="1:12" x14ac:dyDescent="0.3">
      <c r="A683">
        <v>682</v>
      </c>
      <c r="B683">
        <v>3</v>
      </c>
      <c r="C683" s="1">
        <v>45276</v>
      </c>
      <c r="D683" s="2" t="s">
        <v>80</v>
      </c>
      <c r="E683">
        <v>0</v>
      </c>
      <c r="F683">
        <v>23</v>
      </c>
      <c r="G683">
        <v>152</v>
      </c>
      <c r="H683">
        <v>169</v>
      </c>
      <c r="I683" t="str">
        <f>VLOOKUP(Call_Center_Data[[#This Row],[Emp ID]],Employee[],2,FALSE)</f>
        <v>Tina Simons</v>
      </c>
      <c r="J683" t="str">
        <f>VLOOKUP(Call_Center_Data[[#This Row],[Emp ID]], Employee[], 3, FALSE)</f>
        <v>Aurora, CO</v>
      </c>
      <c r="K683" t="str">
        <f>VLOOKUP(Call_Center_Data[[#This Row],[Emp ID]], Employee[], 4, FALSE)</f>
        <v>Pierce Gill</v>
      </c>
      <c r="L683" t="str">
        <f>VLOOKUP(Call_Center_Data[[#This Row],[Call Type ID]], Call_Type[], 2, FALSE)</f>
        <v>Tech Sup</v>
      </c>
    </row>
    <row r="684" spans="1:12" x14ac:dyDescent="0.3">
      <c r="A684">
        <v>683</v>
      </c>
      <c r="B684">
        <v>3</v>
      </c>
      <c r="C684" s="1">
        <v>45277</v>
      </c>
      <c r="D684" s="2" t="s">
        <v>69</v>
      </c>
      <c r="E684">
        <v>0</v>
      </c>
      <c r="F684">
        <v>22</v>
      </c>
      <c r="G684">
        <v>162</v>
      </c>
      <c r="H684">
        <v>119</v>
      </c>
      <c r="I684" t="str">
        <f>VLOOKUP(Call_Center_Data[[#This Row],[Emp ID]],Employee[],2,FALSE)</f>
        <v>Sam Gilder</v>
      </c>
      <c r="J684" t="str">
        <f>VLOOKUP(Call_Center_Data[[#This Row],[Emp ID]], Employee[], 3, FALSE)</f>
        <v>Jacksonville, WA</v>
      </c>
      <c r="K684" t="str">
        <f>VLOOKUP(Call_Center_Data[[#This Row],[Emp ID]], Employee[], 4, FALSE)</f>
        <v>Timmy Hall</v>
      </c>
      <c r="L684" t="str">
        <f>VLOOKUP(Call_Center_Data[[#This Row],[Call Type ID]], Call_Type[], 2, FALSE)</f>
        <v>Tech Sup</v>
      </c>
    </row>
    <row r="685" spans="1:12" x14ac:dyDescent="0.3">
      <c r="A685">
        <v>684</v>
      </c>
      <c r="B685">
        <v>1</v>
      </c>
      <c r="C685" s="1">
        <v>45278</v>
      </c>
      <c r="D685" s="2" t="s">
        <v>78</v>
      </c>
      <c r="E685">
        <v>0</v>
      </c>
      <c r="F685">
        <v>39</v>
      </c>
      <c r="G685">
        <v>223</v>
      </c>
      <c r="H685">
        <v>220</v>
      </c>
      <c r="I685" t="str">
        <f>VLOOKUP(Call_Center_Data[[#This Row],[Emp ID]],Employee[],2,FALSE)</f>
        <v>Jill Saab</v>
      </c>
      <c r="J685" t="str">
        <f>VLOOKUP(Call_Center_Data[[#This Row],[Emp ID]], Employee[], 3, FALSE)</f>
        <v>Spokane, WA</v>
      </c>
      <c r="K685" t="str">
        <f>VLOOKUP(Call_Center_Data[[#This Row],[Emp ID]], Employee[], 4, FALSE)</f>
        <v>Timmy Gill</v>
      </c>
      <c r="L685" t="str">
        <f>VLOOKUP(Call_Center_Data[[#This Row],[Call Type ID]], Call_Type[], 2, FALSE)</f>
        <v>Billing</v>
      </c>
    </row>
    <row r="686" spans="1:12" x14ac:dyDescent="0.3">
      <c r="A686">
        <v>685</v>
      </c>
      <c r="B686">
        <v>3</v>
      </c>
      <c r="C686" s="1">
        <v>45279</v>
      </c>
      <c r="D686" s="2" t="s">
        <v>87</v>
      </c>
      <c r="E686">
        <v>1</v>
      </c>
      <c r="F686">
        <v>109</v>
      </c>
      <c r="G686">
        <v>166</v>
      </c>
      <c r="H686">
        <v>661</v>
      </c>
      <c r="I686" t="str">
        <f>VLOOKUP(Call_Center_Data[[#This Row],[Emp ID]],Employee[],2,FALSE)</f>
        <v>Gina Saab</v>
      </c>
      <c r="J686" t="str">
        <f>VLOOKUP(Call_Center_Data[[#This Row],[Emp ID]], Employee[], 3, FALSE)</f>
        <v>Jacksonville, WA</v>
      </c>
      <c r="K686" t="str">
        <f>VLOOKUP(Call_Center_Data[[#This Row],[Emp ID]], Employee[], 4, FALSE)</f>
        <v>Jenny Gill</v>
      </c>
      <c r="L686" t="str">
        <f>VLOOKUP(Call_Center_Data[[#This Row],[Call Type ID]], Call_Type[], 2, FALSE)</f>
        <v>Tech Sup</v>
      </c>
    </row>
    <row r="687" spans="1:12" x14ac:dyDescent="0.3">
      <c r="A687">
        <v>686</v>
      </c>
      <c r="B687">
        <v>2</v>
      </c>
      <c r="C687" s="1">
        <v>45280</v>
      </c>
      <c r="D687" s="2" t="s">
        <v>86</v>
      </c>
      <c r="E687">
        <v>0</v>
      </c>
      <c r="F687">
        <v>98</v>
      </c>
      <c r="G687">
        <v>138</v>
      </c>
      <c r="H687">
        <v>606</v>
      </c>
      <c r="I687" t="str">
        <f>VLOOKUP(Call_Center_Data[[#This Row],[Emp ID]],Employee[],2,FALSE)</f>
        <v>Jill Gilder</v>
      </c>
      <c r="J687" t="str">
        <f>VLOOKUP(Call_Center_Data[[#This Row],[Emp ID]], Employee[], 3, FALSE)</f>
        <v>Aurora, CO</v>
      </c>
      <c r="K687" t="str">
        <f>VLOOKUP(Call_Center_Data[[#This Row],[Emp ID]], Employee[], 4, FALSE)</f>
        <v>Jenny Baas</v>
      </c>
      <c r="L687" t="str">
        <f>VLOOKUP(Call_Center_Data[[#This Row],[Call Type ID]], Call_Type[], 2, FALSE)</f>
        <v>Sales</v>
      </c>
    </row>
    <row r="688" spans="1:12" x14ac:dyDescent="0.3">
      <c r="A688">
        <v>687</v>
      </c>
      <c r="B688">
        <v>2</v>
      </c>
      <c r="C688" s="1">
        <v>45281</v>
      </c>
      <c r="D688" s="2" t="s">
        <v>87</v>
      </c>
      <c r="E688">
        <v>0</v>
      </c>
      <c r="F688">
        <v>64</v>
      </c>
      <c r="G688">
        <v>153</v>
      </c>
      <c r="H688">
        <v>770</v>
      </c>
      <c r="I688" t="str">
        <f>VLOOKUP(Call_Center_Data[[#This Row],[Emp ID]],Employee[],2,FALSE)</f>
        <v>Gina Saab</v>
      </c>
      <c r="J688" t="str">
        <f>VLOOKUP(Call_Center_Data[[#This Row],[Emp ID]], Employee[], 3, FALSE)</f>
        <v>Jacksonville, WA</v>
      </c>
      <c r="K688" t="str">
        <f>VLOOKUP(Call_Center_Data[[#This Row],[Emp ID]], Employee[], 4, FALSE)</f>
        <v>Jenny Gill</v>
      </c>
      <c r="L688" t="str">
        <f>VLOOKUP(Call_Center_Data[[#This Row],[Call Type ID]], Call_Type[], 2, FALSE)</f>
        <v>Sales</v>
      </c>
    </row>
    <row r="689" spans="1:12" x14ac:dyDescent="0.3">
      <c r="A689">
        <v>688</v>
      </c>
      <c r="B689">
        <v>2</v>
      </c>
      <c r="C689" s="1">
        <v>45282</v>
      </c>
      <c r="D689" s="2" t="s">
        <v>86</v>
      </c>
      <c r="E689">
        <v>0</v>
      </c>
      <c r="F689">
        <v>38</v>
      </c>
      <c r="G689">
        <v>180</v>
      </c>
      <c r="H689">
        <v>332</v>
      </c>
      <c r="I689" t="str">
        <f>VLOOKUP(Call_Center_Data[[#This Row],[Emp ID]],Employee[],2,FALSE)</f>
        <v>Jill Gilder</v>
      </c>
      <c r="J689" t="str">
        <f>VLOOKUP(Call_Center_Data[[#This Row],[Emp ID]], Employee[], 3, FALSE)</f>
        <v>Aurora, CO</v>
      </c>
      <c r="K689" t="str">
        <f>VLOOKUP(Call_Center_Data[[#This Row],[Emp ID]], Employee[], 4, FALSE)</f>
        <v>Jenny Baas</v>
      </c>
      <c r="L689" t="str">
        <f>VLOOKUP(Call_Center_Data[[#This Row],[Call Type ID]], Call_Type[], 2, FALSE)</f>
        <v>Sales</v>
      </c>
    </row>
    <row r="690" spans="1:12" x14ac:dyDescent="0.3">
      <c r="A690">
        <v>689</v>
      </c>
      <c r="B690">
        <v>1</v>
      </c>
      <c r="C690" s="1">
        <v>45283</v>
      </c>
      <c r="D690" s="2" t="s">
        <v>65</v>
      </c>
      <c r="E690">
        <v>0</v>
      </c>
      <c r="F690">
        <v>20</v>
      </c>
      <c r="G690">
        <v>153</v>
      </c>
      <c r="H690">
        <v>315</v>
      </c>
      <c r="I690" t="str">
        <f>VLOOKUP(Call_Center_Data[[#This Row],[Emp ID]],Employee[],2,FALSE)</f>
        <v>Ultor John</v>
      </c>
      <c r="J690" t="str">
        <f>VLOOKUP(Call_Center_Data[[#This Row],[Emp ID]], Employee[], 3, FALSE)</f>
        <v>Spokane, WA</v>
      </c>
      <c r="K690" t="str">
        <f>VLOOKUP(Call_Center_Data[[#This Row],[Emp ID]], Employee[], 4, FALSE)</f>
        <v>John Mack</v>
      </c>
      <c r="L690" t="str">
        <f>VLOOKUP(Call_Center_Data[[#This Row],[Call Type ID]], Call_Type[], 2, FALSE)</f>
        <v>Billing</v>
      </c>
    </row>
    <row r="691" spans="1:12" x14ac:dyDescent="0.3">
      <c r="A691">
        <v>690</v>
      </c>
      <c r="B691">
        <v>3</v>
      </c>
      <c r="C691" s="1">
        <v>45284</v>
      </c>
      <c r="D691" s="2" t="s">
        <v>88</v>
      </c>
      <c r="E691">
        <v>0</v>
      </c>
      <c r="F691">
        <v>46</v>
      </c>
      <c r="G691">
        <v>159</v>
      </c>
      <c r="H691">
        <v>256</v>
      </c>
      <c r="I691" t="str">
        <f>VLOOKUP(Call_Center_Data[[#This Row],[Emp ID]],Employee[],2,FALSE)</f>
        <v>Gina Gilder</v>
      </c>
      <c r="J691" t="str">
        <f>VLOOKUP(Call_Center_Data[[#This Row],[Emp ID]], Employee[], 3, FALSE)</f>
        <v>Jacksonville, WA</v>
      </c>
      <c r="K691" t="str">
        <f>VLOOKUP(Call_Center_Data[[#This Row],[Emp ID]], Employee[], 4, FALSE)</f>
        <v>Pierce Rhodes</v>
      </c>
      <c r="L691" t="str">
        <f>VLOOKUP(Call_Center_Data[[#This Row],[Call Type ID]], Call_Type[], 2, FALSE)</f>
        <v>Tech Sup</v>
      </c>
    </row>
    <row r="692" spans="1:12" x14ac:dyDescent="0.3">
      <c r="A692">
        <v>691</v>
      </c>
      <c r="B692">
        <v>1</v>
      </c>
      <c r="C692" s="1">
        <v>45285</v>
      </c>
      <c r="D692" s="2" t="s">
        <v>76</v>
      </c>
      <c r="E692">
        <v>0</v>
      </c>
      <c r="F692">
        <v>17</v>
      </c>
      <c r="G692">
        <v>127</v>
      </c>
      <c r="H692">
        <v>270</v>
      </c>
      <c r="I692" t="str">
        <f>VLOOKUP(Call_Center_Data[[#This Row],[Emp ID]],Employee[],2,FALSE)</f>
        <v>Ultor Saab</v>
      </c>
      <c r="J692" t="str">
        <f>VLOOKUP(Call_Center_Data[[#This Row],[Emp ID]], Employee[], 3, FALSE)</f>
        <v>Aurora, CO</v>
      </c>
      <c r="K692" t="str">
        <f>VLOOKUP(Call_Center_Data[[#This Row],[Emp ID]], Employee[], 4, FALSE)</f>
        <v>Pierce Baas</v>
      </c>
      <c r="L692" t="str">
        <f>VLOOKUP(Call_Center_Data[[#This Row],[Call Type ID]], Call_Type[], 2, FALSE)</f>
        <v>Billing</v>
      </c>
    </row>
    <row r="693" spans="1:12" x14ac:dyDescent="0.3">
      <c r="A693">
        <v>692</v>
      </c>
      <c r="B693">
        <v>2</v>
      </c>
      <c r="C693" s="1">
        <v>45286</v>
      </c>
      <c r="D693" s="2" t="s">
        <v>86</v>
      </c>
      <c r="E693">
        <v>1</v>
      </c>
      <c r="F693">
        <v>193</v>
      </c>
      <c r="G693">
        <v>181</v>
      </c>
      <c r="H693">
        <v>1047</v>
      </c>
      <c r="I693" t="str">
        <f>VLOOKUP(Call_Center_Data[[#This Row],[Emp ID]],Employee[],2,FALSE)</f>
        <v>Jill Gilder</v>
      </c>
      <c r="J693" t="str">
        <f>VLOOKUP(Call_Center_Data[[#This Row],[Emp ID]], Employee[], 3, FALSE)</f>
        <v>Aurora, CO</v>
      </c>
      <c r="K693" t="str">
        <f>VLOOKUP(Call_Center_Data[[#This Row],[Emp ID]], Employee[], 4, FALSE)</f>
        <v>Jenny Baas</v>
      </c>
      <c r="L693" t="str">
        <f>VLOOKUP(Call_Center_Data[[#This Row],[Call Type ID]], Call_Type[], 2, FALSE)</f>
        <v>Sales</v>
      </c>
    </row>
    <row r="694" spans="1:12" x14ac:dyDescent="0.3">
      <c r="A694">
        <v>693</v>
      </c>
      <c r="B694">
        <v>1</v>
      </c>
      <c r="C694" s="1">
        <v>45287</v>
      </c>
      <c r="D694" s="2" t="s">
        <v>77</v>
      </c>
      <c r="E694">
        <v>1</v>
      </c>
      <c r="F694">
        <v>244</v>
      </c>
      <c r="G694">
        <v>163</v>
      </c>
      <c r="H694">
        <v>938</v>
      </c>
      <c r="I694" t="str">
        <f>VLOOKUP(Call_Center_Data[[#This Row],[Emp ID]],Employee[],2,FALSE)</f>
        <v>Sam Saab</v>
      </c>
      <c r="J694" t="str">
        <f>VLOOKUP(Call_Center_Data[[#This Row],[Emp ID]], Employee[], 3, FALSE)</f>
        <v>Aurora, CO</v>
      </c>
      <c r="K694" t="str">
        <f>VLOOKUP(Call_Center_Data[[#This Row],[Emp ID]], Employee[], 4, FALSE)</f>
        <v>Timmy Mack</v>
      </c>
      <c r="L694" t="str">
        <f>VLOOKUP(Call_Center_Data[[#This Row],[Call Type ID]], Call_Type[], 2, FALSE)</f>
        <v>Billing</v>
      </c>
    </row>
    <row r="695" spans="1:12" x14ac:dyDescent="0.3">
      <c r="A695">
        <v>694</v>
      </c>
      <c r="B695">
        <v>1</v>
      </c>
      <c r="C695" s="1">
        <v>45288</v>
      </c>
      <c r="D695" s="2" t="s">
        <v>80</v>
      </c>
      <c r="E695">
        <v>1</v>
      </c>
      <c r="F695">
        <v>308</v>
      </c>
      <c r="G695">
        <v>188</v>
      </c>
      <c r="H695">
        <v>1376</v>
      </c>
      <c r="I695" t="str">
        <f>VLOOKUP(Call_Center_Data[[#This Row],[Emp ID]],Employee[],2,FALSE)</f>
        <v>Tina Simons</v>
      </c>
      <c r="J695" t="str">
        <f>VLOOKUP(Call_Center_Data[[#This Row],[Emp ID]], Employee[], 3, FALSE)</f>
        <v>Aurora, CO</v>
      </c>
      <c r="K695" t="str">
        <f>VLOOKUP(Call_Center_Data[[#This Row],[Emp ID]], Employee[], 4, FALSE)</f>
        <v>Pierce Gill</v>
      </c>
      <c r="L695" t="str">
        <f>VLOOKUP(Call_Center_Data[[#This Row],[Call Type ID]], Call_Type[], 2, FALSE)</f>
        <v>Billing</v>
      </c>
    </row>
    <row r="696" spans="1:12" x14ac:dyDescent="0.3">
      <c r="A696">
        <v>695</v>
      </c>
      <c r="B696">
        <v>1</v>
      </c>
      <c r="C696" s="1">
        <v>45289</v>
      </c>
      <c r="D696" s="2" t="s">
        <v>83</v>
      </c>
      <c r="E696">
        <v>0</v>
      </c>
      <c r="F696">
        <v>193</v>
      </c>
      <c r="G696">
        <v>172</v>
      </c>
      <c r="H696">
        <v>1155</v>
      </c>
      <c r="I696" t="str">
        <f>VLOOKUP(Call_Center_Data[[#This Row],[Emp ID]],Employee[],2,FALSE)</f>
        <v>Ultor Simons</v>
      </c>
      <c r="J696" t="str">
        <f>VLOOKUP(Call_Center_Data[[#This Row],[Emp ID]], Employee[], 3, FALSE)</f>
        <v>Jacksonville, WA</v>
      </c>
      <c r="K696" t="str">
        <f>VLOOKUP(Call_Center_Data[[#This Row],[Emp ID]], Employee[], 4, FALSE)</f>
        <v>Pierce Hall</v>
      </c>
      <c r="L696" t="str">
        <f>VLOOKUP(Call_Center_Data[[#This Row],[Call Type ID]], Call_Type[], 2, FALSE)</f>
        <v>Billing</v>
      </c>
    </row>
    <row r="697" spans="1:12" x14ac:dyDescent="0.3">
      <c r="A697">
        <v>696</v>
      </c>
      <c r="B697">
        <v>2</v>
      </c>
      <c r="C697" s="1">
        <v>45290</v>
      </c>
      <c r="D697" s="2" t="s">
        <v>68</v>
      </c>
      <c r="E697">
        <v>0</v>
      </c>
      <c r="F697">
        <v>62</v>
      </c>
      <c r="G697">
        <v>169</v>
      </c>
      <c r="H697">
        <v>882</v>
      </c>
      <c r="I697" t="str">
        <f>VLOOKUP(Call_Center_Data[[#This Row],[Emp ID]],Employee[],2,FALSE)</f>
        <v>Tina Saab</v>
      </c>
      <c r="J697" t="str">
        <f>VLOOKUP(Call_Center_Data[[#This Row],[Emp ID]], Employee[], 3, FALSE)</f>
        <v>Spokane, WA</v>
      </c>
      <c r="K697" t="str">
        <f>VLOOKUP(Call_Center_Data[[#This Row],[Emp ID]], Employee[], 4, FALSE)</f>
        <v>Henry Baas</v>
      </c>
      <c r="L697" t="str">
        <f>VLOOKUP(Call_Center_Data[[#This Row],[Call Type ID]], Call_Type[], 2, FALSE)</f>
        <v>Sales</v>
      </c>
    </row>
    <row r="698" spans="1:12" x14ac:dyDescent="0.3">
      <c r="A698">
        <v>697</v>
      </c>
      <c r="B698">
        <v>3</v>
      </c>
      <c r="C698" s="1">
        <v>45291</v>
      </c>
      <c r="D698" s="2" t="s">
        <v>78</v>
      </c>
      <c r="E698">
        <v>1</v>
      </c>
      <c r="F698">
        <v>43</v>
      </c>
      <c r="G698">
        <v>157</v>
      </c>
      <c r="H698">
        <v>330</v>
      </c>
      <c r="I698" t="str">
        <f>VLOOKUP(Call_Center_Data[[#This Row],[Emp ID]],Employee[],2,FALSE)</f>
        <v>Jill Saab</v>
      </c>
      <c r="J698" t="str">
        <f>VLOOKUP(Call_Center_Data[[#This Row],[Emp ID]], Employee[], 3, FALSE)</f>
        <v>Spokane, WA</v>
      </c>
      <c r="K698" t="str">
        <f>VLOOKUP(Call_Center_Data[[#This Row],[Emp ID]], Employee[], 4, FALSE)</f>
        <v>Timmy Gill</v>
      </c>
      <c r="L698" t="str">
        <f>VLOOKUP(Call_Center_Data[[#This Row],[Call Type ID]], Call_Type[], 2, FALSE)</f>
        <v>Tech Sup</v>
      </c>
    </row>
    <row r="699" spans="1:12" x14ac:dyDescent="0.3">
      <c r="A699">
        <v>698</v>
      </c>
      <c r="B699">
        <v>3</v>
      </c>
      <c r="C699" s="1">
        <v>45292</v>
      </c>
      <c r="D699" s="2" t="s">
        <v>88</v>
      </c>
      <c r="E699">
        <v>0</v>
      </c>
      <c r="F699">
        <v>38</v>
      </c>
      <c r="G699">
        <v>192</v>
      </c>
      <c r="H699">
        <v>330</v>
      </c>
      <c r="I699" t="str">
        <f>VLOOKUP(Call_Center_Data[[#This Row],[Emp ID]],Employee[],2,FALSE)</f>
        <v>Gina Gilder</v>
      </c>
      <c r="J699" t="str">
        <f>VLOOKUP(Call_Center_Data[[#This Row],[Emp ID]], Employee[], 3, FALSE)</f>
        <v>Jacksonville, WA</v>
      </c>
      <c r="K699" t="str">
        <f>VLOOKUP(Call_Center_Data[[#This Row],[Emp ID]], Employee[], 4, FALSE)</f>
        <v>Pierce Rhodes</v>
      </c>
      <c r="L699" t="str">
        <f>VLOOKUP(Call_Center_Data[[#This Row],[Call Type ID]], Call_Type[], 2, FALSE)</f>
        <v>Tech Sup</v>
      </c>
    </row>
    <row r="700" spans="1:12" x14ac:dyDescent="0.3">
      <c r="A700">
        <v>699</v>
      </c>
      <c r="B700">
        <v>2</v>
      </c>
      <c r="C700" s="1">
        <v>45293</v>
      </c>
      <c r="D700" s="2" t="s">
        <v>84</v>
      </c>
      <c r="E700">
        <v>0</v>
      </c>
      <c r="F700">
        <v>34</v>
      </c>
      <c r="G700">
        <v>172</v>
      </c>
      <c r="H700">
        <v>330</v>
      </c>
      <c r="I700" t="str">
        <f>VLOOKUP(Call_Center_Data[[#This Row],[Emp ID]],Employee[],2,FALSE)</f>
        <v>Sam John</v>
      </c>
      <c r="J700" t="str">
        <f>VLOOKUP(Call_Center_Data[[#This Row],[Emp ID]], Employee[], 3, FALSE)</f>
        <v>Aurora, CO</v>
      </c>
      <c r="K700" t="str">
        <f>VLOOKUP(Call_Center_Data[[#This Row],[Emp ID]], Employee[], 4, FALSE)</f>
        <v>Jenny Mack</v>
      </c>
      <c r="L700" t="str">
        <f>VLOOKUP(Call_Center_Data[[#This Row],[Call Type ID]], Call_Type[], 2, FALSE)</f>
        <v>Sales</v>
      </c>
    </row>
    <row r="701" spans="1:12" x14ac:dyDescent="0.3">
      <c r="A701">
        <v>700</v>
      </c>
      <c r="B701">
        <v>2</v>
      </c>
      <c r="C701" s="1">
        <v>45294</v>
      </c>
      <c r="D701" s="2" t="s">
        <v>65</v>
      </c>
      <c r="E701">
        <v>1</v>
      </c>
      <c r="F701">
        <v>44</v>
      </c>
      <c r="G701">
        <v>175</v>
      </c>
      <c r="H701">
        <v>261</v>
      </c>
      <c r="I701" t="str">
        <f>VLOOKUP(Call_Center_Data[[#This Row],[Emp ID]],Employee[],2,FALSE)</f>
        <v>Ultor John</v>
      </c>
      <c r="J701" t="str">
        <f>VLOOKUP(Call_Center_Data[[#This Row],[Emp ID]], Employee[], 3, FALSE)</f>
        <v>Spokane, WA</v>
      </c>
      <c r="K701" t="str">
        <f>VLOOKUP(Call_Center_Data[[#This Row],[Emp ID]], Employee[], 4, FALSE)</f>
        <v>John Mack</v>
      </c>
      <c r="L701" t="str">
        <f>VLOOKUP(Call_Center_Data[[#This Row],[Call Type ID]], Call_Type[], 2, FALSE)</f>
        <v>Sales</v>
      </c>
    </row>
    <row r="702" spans="1:12" x14ac:dyDescent="0.3">
      <c r="A702">
        <v>701</v>
      </c>
      <c r="B702">
        <v>1</v>
      </c>
      <c r="C702" s="1">
        <v>45295</v>
      </c>
      <c r="D702" s="2" t="s">
        <v>65</v>
      </c>
      <c r="E702">
        <v>1</v>
      </c>
      <c r="F702">
        <v>41</v>
      </c>
      <c r="G702">
        <v>183</v>
      </c>
      <c r="H702">
        <v>349</v>
      </c>
      <c r="I702" t="str">
        <f>VLOOKUP(Call_Center_Data[[#This Row],[Emp ID]],Employee[],2,FALSE)</f>
        <v>Ultor John</v>
      </c>
      <c r="J702" t="str">
        <f>VLOOKUP(Call_Center_Data[[#This Row],[Emp ID]], Employee[], 3, FALSE)</f>
        <v>Spokane, WA</v>
      </c>
      <c r="K702" t="str">
        <f>VLOOKUP(Call_Center_Data[[#This Row],[Emp ID]], Employee[], 4, FALSE)</f>
        <v>John Mack</v>
      </c>
      <c r="L702" t="str">
        <f>VLOOKUP(Call_Center_Data[[#This Row],[Call Type ID]], Call_Type[], 2, FALSE)</f>
        <v>Billing</v>
      </c>
    </row>
    <row r="703" spans="1:12" x14ac:dyDescent="0.3">
      <c r="A703">
        <v>702</v>
      </c>
      <c r="B703">
        <v>1</v>
      </c>
      <c r="C703" s="1">
        <v>45296</v>
      </c>
      <c r="D703" s="2" t="s">
        <v>87</v>
      </c>
      <c r="E703">
        <v>1</v>
      </c>
      <c r="F703">
        <v>39</v>
      </c>
      <c r="G703">
        <v>186</v>
      </c>
      <c r="H703">
        <v>506</v>
      </c>
      <c r="I703" t="str">
        <f>VLOOKUP(Call_Center_Data[[#This Row],[Emp ID]],Employee[],2,FALSE)</f>
        <v>Gina Saab</v>
      </c>
      <c r="J703" t="str">
        <f>VLOOKUP(Call_Center_Data[[#This Row],[Emp ID]], Employee[], 3, FALSE)</f>
        <v>Jacksonville, WA</v>
      </c>
      <c r="K703" t="str">
        <f>VLOOKUP(Call_Center_Data[[#This Row],[Emp ID]], Employee[], 4, FALSE)</f>
        <v>Jenny Gill</v>
      </c>
      <c r="L703" t="str">
        <f>VLOOKUP(Call_Center_Data[[#This Row],[Call Type ID]], Call_Type[], 2, FALSE)</f>
        <v>Billing</v>
      </c>
    </row>
    <row r="704" spans="1:12" x14ac:dyDescent="0.3">
      <c r="A704">
        <v>703</v>
      </c>
      <c r="B704">
        <v>3</v>
      </c>
      <c r="C704" s="1">
        <v>45297</v>
      </c>
      <c r="D704" s="2" t="s">
        <v>67</v>
      </c>
      <c r="E704">
        <v>1</v>
      </c>
      <c r="F704">
        <v>38</v>
      </c>
      <c r="G704">
        <v>161</v>
      </c>
      <c r="H704">
        <v>220</v>
      </c>
      <c r="I704" t="str">
        <f>VLOOKUP(Call_Center_Data[[#This Row],[Emp ID]],Employee[],2,FALSE)</f>
        <v>Tina Pat</v>
      </c>
      <c r="J704" t="str">
        <f>VLOOKUP(Call_Center_Data[[#This Row],[Emp ID]], Employee[], 3, FALSE)</f>
        <v>Jacksonville, WA</v>
      </c>
      <c r="K704" t="str">
        <f>VLOOKUP(Call_Center_Data[[#This Row],[Emp ID]], Employee[], 4, FALSE)</f>
        <v>John Hall</v>
      </c>
      <c r="L704" t="str">
        <f>VLOOKUP(Call_Center_Data[[#This Row],[Call Type ID]], Call_Type[], 2, FALSE)</f>
        <v>Tech Sup</v>
      </c>
    </row>
    <row r="705" spans="1:12" x14ac:dyDescent="0.3">
      <c r="A705">
        <v>704</v>
      </c>
      <c r="B705">
        <v>1</v>
      </c>
      <c r="C705" s="1">
        <v>45298</v>
      </c>
      <c r="D705" s="2" t="s">
        <v>77</v>
      </c>
      <c r="E705">
        <v>0</v>
      </c>
      <c r="F705">
        <v>33</v>
      </c>
      <c r="G705">
        <v>165</v>
      </c>
      <c r="H705">
        <v>252</v>
      </c>
      <c r="I705" t="str">
        <f>VLOOKUP(Call_Center_Data[[#This Row],[Emp ID]],Employee[],2,FALSE)</f>
        <v>Sam Saab</v>
      </c>
      <c r="J705" t="str">
        <f>VLOOKUP(Call_Center_Data[[#This Row],[Emp ID]], Employee[], 3, FALSE)</f>
        <v>Aurora, CO</v>
      </c>
      <c r="K705" t="str">
        <f>VLOOKUP(Call_Center_Data[[#This Row],[Emp ID]], Employee[], 4, FALSE)</f>
        <v>Timmy Mack</v>
      </c>
      <c r="L705" t="str">
        <f>VLOOKUP(Call_Center_Data[[#This Row],[Call Type ID]], Call_Type[], 2, FALSE)</f>
        <v>Billing</v>
      </c>
    </row>
    <row r="706" spans="1:12" x14ac:dyDescent="0.3">
      <c r="A706">
        <v>705</v>
      </c>
      <c r="B706">
        <v>3</v>
      </c>
      <c r="C706" s="1">
        <v>45299</v>
      </c>
      <c r="D706" s="2" t="s">
        <v>77</v>
      </c>
      <c r="E706">
        <v>1</v>
      </c>
      <c r="F706">
        <v>29</v>
      </c>
      <c r="G706">
        <v>160</v>
      </c>
      <c r="H706">
        <v>168</v>
      </c>
      <c r="I706" t="str">
        <f>VLOOKUP(Call_Center_Data[[#This Row],[Emp ID]],Employee[],2,FALSE)</f>
        <v>Sam Saab</v>
      </c>
      <c r="J706" t="str">
        <f>VLOOKUP(Call_Center_Data[[#This Row],[Emp ID]], Employee[], 3, FALSE)</f>
        <v>Aurora, CO</v>
      </c>
      <c r="K706" t="str">
        <f>VLOOKUP(Call_Center_Data[[#This Row],[Emp ID]], Employee[], 4, FALSE)</f>
        <v>Timmy Mack</v>
      </c>
      <c r="L706" t="str">
        <f>VLOOKUP(Call_Center_Data[[#This Row],[Call Type ID]], Call_Type[], 2, FALSE)</f>
        <v>Tech Sup</v>
      </c>
    </row>
    <row r="707" spans="1:12" x14ac:dyDescent="0.3">
      <c r="A707">
        <v>706</v>
      </c>
      <c r="B707">
        <v>2</v>
      </c>
      <c r="C707" s="1">
        <v>45300</v>
      </c>
      <c r="D707" s="2" t="s">
        <v>88</v>
      </c>
      <c r="E707">
        <v>1</v>
      </c>
      <c r="F707">
        <v>39</v>
      </c>
      <c r="G707">
        <v>153</v>
      </c>
      <c r="H707">
        <v>222</v>
      </c>
      <c r="I707" t="str">
        <f>VLOOKUP(Call_Center_Data[[#This Row],[Emp ID]],Employee[],2,FALSE)</f>
        <v>Gina Gilder</v>
      </c>
      <c r="J707" t="str">
        <f>VLOOKUP(Call_Center_Data[[#This Row],[Emp ID]], Employee[], 3, FALSE)</f>
        <v>Jacksonville, WA</v>
      </c>
      <c r="K707" t="str">
        <f>VLOOKUP(Call_Center_Data[[#This Row],[Emp ID]], Employee[], 4, FALSE)</f>
        <v>Pierce Rhodes</v>
      </c>
      <c r="L707" t="str">
        <f>VLOOKUP(Call_Center_Data[[#This Row],[Call Type ID]], Call_Type[], 2, FALSE)</f>
        <v>Sales</v>
      </c>
    </row>
    <row r="708" spans="1:12" x14ac:dyDescent="0.3">
      <c r="A708">
        <v>707</v>
      </c>
      <c r="B708">
        <v>1</v>
      </c>
      <c r="C708" s="1">
        <v>45301</v>
      </c>
      <c r="D708" s="2" t="s">
        <v>66</v>
      </c>
      <c r="E708">
        <v>1</v>
      </c>
      <c r="F708">
        <v>26</v>
      </c>
      <c r="G708">
        <v>145</v>
      </c>
      <c r="H708">
        <v>222</v>
      </c>
      <c r="I708" t="str">
        <f>VLOOKUP(Call_Center_Data[[#This Row],[Emp ID]],Employee[],2,FALSE)</f>
        <v>Tina John</v>
      </c>
      <c r="J708" t="str">
        <f>VLOOKUP(Call_Center_Data[[#This Row],[Emp ID]], Employee[], 3, FALSE)</f>
        <v>Aurora, CO</v>
      </c>
      <c r="K708" t="str">
        <f>VLOOKUP(Call_Center_Data[[#This Row],[Emp ID]], Employee[], 4, FALSE)</f>
        <v>Timmy Rhodes</v>
      </c>
      <c r="L708" t="str">
        <f>VLOOKUP(Call_Center_Data[[#This Row],[Call Type ID]], Call_Type[], 2, FALSE)</f>
        <v>Billing</v>
      </c>
    </row>
    <row r="709" spans="1:12" x14ac:dyDescent="0.3">
      <c r="A709">
        <v>708</v>
      </c>
      <c r="B709">
        <v>1</v>
      </c>
      <c r="C709" s="1">
        <v>45302</v>
      </c>
      <c r="D709" s="2" t="s">
        <v>77</v>
      </c>
      <c r="E709">
        <v>1</v>
      </c>
      <c r="F709">
        <v>24</v>
      </c>
      <c r="G709">
        <v>162</v>
      </c>
      <c r="H709">
        <v>165</v>
      </c>
      <c r="I709" t="str">
        <f>VLOOKUP(Call_Center_Data[[#This Row],[Emp ID]],Employee[],2,FALSE)</f>
        <v>Sam Saab</v>
      </c>
      <c r="J709" t="str">
        <f>VLOOKUP(Call_Center_Data[[#This Row],[Emp ID]], Employee[], 3, FALSE)</f>
        <v>Aurora, CO</v>
      </c>
      <c r="K709" t="str">
        <f>VLOOKUP(Call_Center_Data[[#This Row],[Emp ID]], Employee[], 4, FALSE)</f>
        <v>Timmy Mack</v>
      </c>
      <c r="L709" t="str">
        <f>VLOOKUP(Call_Center_Data[[#This Row],[Call Type ID]], Call_Type[], 2, FALSE)</f>
        <v>Billing</v>
      </c>
    </row>
    <row r="710" spans="1:12" x14ac:dyDescent="0.3">
      <c r="A710">
        <v>709</v>
      </c>
      <c r="B710">
        <v>1</v>
      </c>
      <c r="C710" s="1">
        <v>45303</v>
      </c>
      <c r="D710" s="2" t="s">
        <v>77</v>
      </c>
      <c r="E710">
        <v>0</v>
      </c>
      <c r="F710">
        <v>24</v>
      </c>
      <c r="G710">
        <v>151</v>
      </c>
      <c r="H710">
        <v>233</v>
      </c>
      <c r="I710" t="str">
        <f>VLOOKUP(Call_Center_Data[[#This Row],[Emp ID]],Employee[],2,FALSE)</f>
        <v>Sam Saab</v>
      </c>
      <c r="J710" t="str">
        <f>VLOOKUP(Call_Center_Data[[#This Row],[Emp ID]], Employee[], 3, FALSE)</f>
        <v>Aurora, CO</v>
      </c>
      <c r="K710" t="str">
        <f>VLOOKUP(Call_Center_Data[[#This Row],[Emp ID]], Employee[], 4, FALSE)</f>
        <v>Timmy Mack</v>
      </c>
      <c r="L710" t="str">
        <f>VLOOKUP(Call_Center_Data[[#This Row],[Call Type ID]], Call_Type[], 2, FALSE)</f>
        <v>Billing</v>
      </c>
    </row>
    <row r="711" spans="1:12" x14ac:dyDescent="0.3">
      <c r="A711">
        <v>710</v>
      </c>
      <c r="B711">
        <v>2</v>
      </c>
      <c r="C711" s="1">
        <v>45304</v>
      </c>
      <c r="D711" s="2" t="s">
        <v>73</v>
      </c>
      <c r="E711">
        <v>0</v>
      </c>
      <c r="F711">
        <v>34</v>
      </c>
      <c r="G711">
        <v>169</v>
      </c>
      <c r="H711">
        <v>385</v>
      </c>
      <c r="I711" t="str">
        <f>VLOOKUP(Call_Center_Data[[#This Row],[Emp ID]],Employee[],2,FALSE)</f>
        <v>Jill John</v>
      </c>
      <c r="J711" t="str">
        <f>VLOOKUP(Call_Center_Data[[#This Row],[Emp ID]], Employee[], 3, FALSE)</f>
        <v>Spokane, WA</v>
      </c>
      <c r="K711" t="str">
        <f>VLOOKUP(Call_Center_Data[[#This Row],[Emp ID]], Employee[], 4, FALSE)</f>
        <v>John Gill</v>
      </c>
      <c r="L711" t="str">
        <f>VLOOKUP(Call_Center_Data[[#This Row],[Call Type ID]], Call_Type[], 2, FALSE)</f>
        <v>Sales</v>
      </c>
    </row>
    <row r="712" spans="1:12" x14ac:dyDescent="0.3">
      <c r="A712">
        <v>711</v>
      </c>
      <c r="B712">
        <v>3</v>
      </c>
      <c r="C712" s="1">
        <v>45305</v>
      </c>
      <c r="D712" s="2" t="s">
        <v>82</v>
      </c>
      <c r="E712">
        <v>0</v>
      </c>
      <c r="F712">
        <v>15</v>
      </c>
      <c r="G712">
        <v>160</v>
      </c>
      <c r="H712">
        <v>165</v>
      </c>
      <c r="I712" t="str">
        <f>VLOOKUP(Call_Center_Data[[#This Row],[Emp ID]],Employee[],2,FALSE)</f>
        <v>Ultor Gilder</v>
      </c>
      <c r="J712" t="str">
        <f>VLOOKUP(Call_Center_Data[[#This Row],[Emp ID]], Employee[], 3, FALSE)</f>
        <v>Aurora, CO</v>
      </c>
      <c r="K712" t="str">
        <f>VLOOKUP(Call_Center_Data[[#This Row],[Emp ID]], Employee[], 4, FALSE)</f>
        <v>Pierce Mack</v>
      </c>
      <c r="L712" t="str">
        <f>VLOOKUP(Call_Center_Data[[#This Row],[Call Type ID]], Call_Type[], 2, FALSE)</f>
        <v>Tech Sup</v>
      </c>
    </row>
    <row r="713" spans="1:12" x14ac:dyDescent="0.3">
      <c r="A713">
        <v>712</v>
      </c>
      <c r="B713">
        <v>1</v>
      </c>
      <c r="C713" s="1">
        <v>45306</v>
      </c>
      <c r="D713" s="2" t="s">
        <v>76</v>
      </c>
      <c r="E713">
        <v>1</v>
      </c>
      <c r="F713">
        <v>15</v>
      </c>
      <c r="G713">
        <v>133</v>
      </c>
      <c r="H713">
        <v>148</v>
      </c>
      <c r="I713" t="str">
        <f>VLOOKUP(Call_Center_Data[[#This Row],[Emp ID]],Employee[],2,FALSE)</f>
        <v>Ultor Saab</v>
      </c>
      <c r="J713" t="str">
        <f>VLOOKUP(Call_Center_Data[[#This Row],[Emp ID]], Employee[], 3, FALSE)</f>
        <v>Aurora, CO</v>
      </c>
      <c r="K713" t="str">
        <f>VLOOKUP(Call_Center_Data[[#This Row],[Emp ID]], Employee[], 4, FALSE)</f>
        <v>Pierce Baas</v>
      </c>
      <c r="L713" t="str">
        <f>VLOOKUP(Call_Center_Data[[#This Row],[Call Type ID]], Call_Type[], 2, FALSE)</f>
        <v>Billing</v>
      </c>
    </row>
    <row r="714" spans="1:12" x14ac:dyDescent="0.3">
      <c r="A714">
        <v>713</v>
      </c>
      <c r="B714">
        <v>2</v>
      </c>
      <c r="C714" s="1">
        <v>45307</v>
      </c>
      <c r="D714" s="2" t="s">
        <v>77</v>
      </c>
      <c r="E714">
        <v>0</v>
      </c>
      <c r="F714">
        <v>20</v>
      </c>
      <c r="G714">
        <v>160</v>
      </c>
      <c r="H714">
        <v>291</v>
      </c>
      <c r="I714" t="str">
        <f>VLOOKUP(Call_Center_Data[[#This Row],[Emp ID]],Employee[],2,FALSE)</f>
        <v>Sam Saab</v>
      </c>
      <c r="J714" t="str">
        <f>VLOOKUP(Call_Center_Data[[#This Row],[Emp ID]], Employee[], 3, FALSE)</f>
        <v>Aurora, CO</v>
      </c>
      <c r="K714" t="str">
        <f>VLOOKUP(Call_Center_Data[[#This Row],[Emp ID]], Employee[], 4, FALSE)</f>
        <v>Timmy Mack</v>
      </c>
      <c r="L714" t="str">
        <f>VLOOKUP(Call_Center_Data[[#This Row],[Call Type ID]], Call_Type[], 2, FALSE)</f>
        <v>Sales</v>
      </c>
    </row>
    <row r="715" spans="1:12" x14ac:dyDescent="0.3">
      <c r="A715">
        <v>714</v>
      </c>
      <c r="B715">
        <v>3</v>
      </c>
      <c r="C715" s="1">
        <v>45308</v>
      </c>
      <c r="D715" s="2" t="s">
        <v>67</v>
      </c>
      <c r="E715">
        <v>1</v>
      </c>
      <c r="F715">
        <v>23</v>
      </c>
      <c r="G715">
        <v>159</v>
      </c>
      <c r="H715">
        <v>181</v>
      </c>
      <c r="I715" t="str">
        <f>VLOOKUP(Call_Center_Data[[#This Row],[Emp ID]],Employee[],2,FALSE)</f>
        <v>Tina Pat</v>
      </c>
      <c r="J715" t="str">
        <f>VLOOKUP(Call_Center_Data[[#This Row],[Emp ID]], Employee[], 3, FALSE)</f>
        <v>Jacksonville, WA</v>
      </c>
      <c r="K715" t="str">
        <f>VLOOKUP(Call_Center_Data[[#This Row],[Emp ID]], Employee[], 4, FALSE)</f>
        <v>John Hall</v>
      </c>
      <c r="L715" t="str">
        <f>VLOOKUP(Call_Center_Data[[#This Row],[Call Type ID]], Call_Type[], 2, FALSE)</f>
        <v>Tech Sup</v>
      </c>
    </row>
    <row r="716" spans="1:12" x14ac:dyDescent="0.3">
      <c r="A716">
        <v>715</v>
      </c>
      <c r="B716">
        <v>3</v>
      </c>
      <c r="C716" s="1">
        <v>45309</v>
      </c>
      <c r="D716" s="2" t="s">
        <v>79</v>
      </c>
      <c r="E716">
        <v>1</v>
      </c>
      <c r="F716">
        <v>44</v>
      </c>
      <c r="G716">
        <v>168</v>
      </c>
      <c r="H716">
        <v>457</v>
      </c>
      <c r="I716" t="str">
        <f>VLOOKUP(Call_Center_Data[[#This Row],[Emp ID]],Employee[],2,FALSE)</f>
        <v>Gina Simons</v>
      </c>
      <c r="J716" t="str">
        <f>VLOOKUP(Call_Center_Data[[#This Row],[Emp ID]], Employee[], 3, FALSE)</f>
        <v>Spokane, WA</v>
      </c>
      <c r="K716" t="str">
        <f>VLOOKUP(Call_Center_Data[[#This Row],[Emp ID]], Employee[], 4, FALSE)</f>
        <v>John Rhodes</v>
      </c>
      <c r="L716" t="str">
        <f>VLOOKUP(Call_Center_Data[[#This Row],[Call Type ID]], Call_Type[], 2, FALSE)</f>
        <v>Tech Sup</v>
      </c>
    </row>
    <row r="717" spans="1:12" x14ac:dyDescent="0.3">
      <c r="A717">
        <v>716</v>
      </c>
      <c r="B717">
        <v>1</v>
      </c>
      <c r="C717" s="1">
        <v>45310</v>
      </c>
      <c r="D717" s="2" t="s">
        <v>75</v>
      </c>
      <c r="E717">
        <v>0</v>
      </c>
      <c r="F717">
        <v>23</v>
      </c>
      <c r="G717">
        <v>158</v>
      </c>
      <c r="H717">
        <v>166</v>
      </c>
      <c r="I717" t="str">
        <f>VLOOKUP(Call_Center_Data[[#This Row],[Emp ID]],Employee[],2,FALSE)</f>
        <v>Gina Pat</v>
      </c>
      <c r="J717" t="str">
        <f>VLOOKUP(Call_Center_Data[[#This Row],[Emp ID]], Employee[], 3, FALSE)</f>
        <v>Spokane, WA</v>
      </c>
      <c r="K717" t="str">
        <f>VLOOKUP(Call_Center_Data[[#This Row],[Emp ID]], Employee[], 4, FALSE)</f>
        <v>Henry Hall</v>
      </c>
      <c r="L717" t="str">
        <f>VLOOKUP(Call_Center_Data[[#This Row],[Call Type ID]], Call_Type[], 2, FALSE)</f>
        <v>Billing</v>
      </c>
    </row>
    <row r="718" spans="1:12" x14ac:dyDescent="0.3">
      <c r="A718">
        <v>717</v>
      </c>
      <c r="B718">
        <v>2</v>
      </c>
      <c r="C718" s="1">
        <v>45311</v>
      </c>
      <c r="D718" s="2" t="s">
        <v>86</v>
      </c>
      <c r="E718">
        <v>0</v>
      </c>
      <c r="F718">
        <v>17</v>
      </c>
      <c r="G718">
        <v>156</v>
      </c>
      <c r="H718">
        <v>142</v>
      </c>
      <c r="I718" t="str">
        <f>VLOOKUP(Call_Center_Data[[#This Row],[Emp ID]],Employee[],2,FALSE)</f>
        <v>Jill Gilder</v>
      </c>
      <c r="J718" t="str">
        <f>VLOOKUP(Call_Center_Data[[#This Row],[Emp ID]], Employee[], 3, FALSE)</f>
        <v>Aurora, CO</v>
      </c>
      <c r="K718" t="str">
        <f>VLOOKUP(Call_Center_Data[[#This Row],[Emp ID]], Employee[], 4, FALSE)</f>
        <v>Jenny Baas</v>
      </c>
      <c r="L718" t="str">
        <f>VLOOKUP(Call_Center_Data[[#This Row],[Call Type ID]], Call_Type[], 2, FALSE)</f>
        <v>Sales</v>
      </c>
    </row>
    <row r="719" spans="1:12" x14ac:dyDescent="0.3">
      <c r="A719">
        <v>718</v>
      </c>
      <c r="B719">
        <v>1</v>
      </c>
      <c r="C719" s="1">
        <v>45312</v>
      </c>
      <c r="D719" s="2" t="s">
        <v>66</v>
      </c>
      <c r="E719">
        <v>0</v>
      </c>
      <c r="F719">
        <v>31</v>
      </c>
      <c r="G719">
        <v>171</v>
      </c>
      <c r="H719">
        <v>216</v>
      </c>
      <c r="I719" t="str">
        <f>VLOOKUP(Call_Center_Data[[#This Row],[Emp ID]],Employee[],2,FALSE)</f>
        <v>Tina John</v>
      </c>
      <c r="J719" t="str">
        <f>VLOOKUP(Call_Center_Data[[#This Row],[Emp ID]], Employee[], 3, FALSE)</f>
        <v>Aurora, CO</v>
      </c>
      <c r="K719" t="str">
        <f>VLOOKUP(Call_Center_Data[[#This Row],[Emp ID]], Employee[], 4, FALSE)</f>
        <v>Timmy Rhodes</v>
      </c>
      <c r="L719" t="str">
        <f>VLOOKUP(Call_Center_Data[[#This Row],[Call Type ID]], Call_Type[], 2, FALSE)</f>
        <v>Billing</v>
      </c>
    </row>
    <row r="720" spans="1:12" x14ac:dyDescent="0.3">
      <c r="A720">
        <v>719</v>
      </c>
      <c r="B720">
        <v>3</v>
      </c>
      <c r="C720" s="1">
        <v>45313</v>
      </c>
      <c r="D720" s="2" t="s">
        <v>83</v>
      </c>
      <c r="E720">
        <v>0</v>
      </c>
      <c r="F720">
        <v>52</v>
      </c>
      <c r="G720">
        <v>209</v>
      </c>
      <c r="H720">
        <v>660</v>
      </c>
      <c r="I720" t="str">
        <f>VLOOKUP(Call_Center_Data[[#This Row],[Emp ID]],Employee[],2,FALSE)</f>
        <v>Ultor Simons</v>
      </c>
      <c r="J720" t="str">
        <f>VLOOKUP(Call_Center_Data[[#This Row],[Emp ID]], Employee[], 3, FALSE)</f>
        <v>Jacksonville, WA</v>
      </c>
      <c r="K720" t="str">
        <f>VLOOKUP(Call_Center_Data[[#This Row],[Emp ID]], Employee[], 4, FALSE)</f>
        <v>Pierce Hall</v>
      </c>
      <c r="L720" t="str">
        <f>VLOOKUP(Call_Center_Data[[#This Row],[Call Type ID]], Call_Type[], 2, FALSE)</f>
        <v>Tech Sup</v>
      </c>
    </row>
    <row r="721" spans="1:12" x14ac:dyDescent="0.3">
      <c r="A721">
        <v>720</v>
      </c>
      <c r="B721">
        <v>3</v>
      </c>
      <c r="C721" s="1">
        <v>45314</v>
      </c>
      <c r="D721" s="2" t="s">
        <v>65</v>
      </c>
      <c r="E721">
        <v>0</v>
      </c>
      <c r="F721">
        <v>40</v>
      </c>
      <c r="G721">
        <v>181</v>
      </c>
      <c r="H721">
        <v>416</v>
      </c>
      <c r="I721" t="str">
        <f>VLOOKUP(Call_Center_Data[[#This Row],[Emp ID]],Employee[],2,FALSE)</f>
        <v>Ultor John</v>
      </c>
      <c r="J721" t="str">
        <f>VLOOKUP(Call_Center_Data[[#This Row],[Emp ID]], Employee[], 3, FALSE)</f>
        <v>Spokane, WA</v>
      </c>
      <c r="K721" t="str">
        <f>VLOOKUP(Call_Center_Data[[#This Row],[Emp ID]], Employee[], 4, FALSE)</f>
        <v>John Mack</v>
      </c>
      <c r="L721" t="str">
        <f>VLOOKUP(Call_Center_Data[[#This Row],[Call Type ID]], Call_Type[], 2, FALSE)</f>
        <v>Tech Sup</v>
      </c>
    </row>
    <row r="722" spans="1:12" x14ac:dyDescent="0.3">
      <c r="A722">
        <v>721</v>
      </c>
      <c r="B722">
        <v>2</v>
      </c>
      <c r="C722" s="1">
        <v>45315</v>
      </c>
      <c r="D722" s="2" t="s">
        <v>73</v>
      </c>
      <c r="E722">
        <v>1</v>
      </c>
      <c r="F722">
        <v>17</v>
      </c>
      <c r="G722">
        <v>163</v>
      </c>
      <c r="H722">
        <v>169</v>
      </c>
      <c r="I722" t="str">
        <f>VLOOKUP(Call_Center_Data[[#This Row],[Emp ID]],Employee[],2,FALSE)</f>
        <v>Jill John</v>
      </c>
      <c r="J722" t="str">
        <f>VLOOKUP(Call_Center_Data[[#This Row],[Emp ID]], Employee[], 3, FALSE)</f>
        <v>Spokane, WA</v>
      </c>
      <c r="K722" t="str">
        <f>VLOOKUP(Call_Center_Data[[#This Row],[Emp ID]], Employee[], 4, FALSE)</f>
        <v>John Gill</v>
      </c>
      <c r="L722" t="str">
        <f>VLOOKUP(Call_Center_Data[[#This Row],[Call Type ID]], Call_Type[], 2, FALSE)</f>
        <v>Sales</v>
      </c>
    </row>
    <row r="723" spans="1:12" x14ac:dyDescent="0.3">
      <c r="A723">
        <v>722</v>
      </c>
      <c r="B723">
        <v>3</v>
      </c>
      <c r="C723" s="1">
        <v>45316</v>
      </c>
      <c r="D723" s="2" t="s">
        <v>71</v>
      </c>
      <c r="E723">
        <v>0</v>
      </c>
      <c r="F723">
        <v>16</v>
      </c>
      <c r="G723">
        <v>156</v>
      </c>
      <c r="H723">
        <v>104</v>
      </c>
      <c r="I723" t="str">
        <f>VLOOKUP(Call_Center_Data[[#This Row],[Emp ID]],Employee[],2,FALSE)</f>
        <v>Sam Pat</v>
      </c>
      <c r="J723" t="str">
        <f>VLOOKUP(Call_Center_Data[[#This Row],[Emp ID]], Employee[], 3, FALSE)</f>
        <v>Aurora, CO</v>
      </c>
      <c r="K723" t="str">
        <f>VLOOKUP(Call_Center_Data[[#This Row],[Emp ID]], Employee[], 4, FALSE)</f>
        <v>Henry Mack</v>
      </c>
      <c r="L723" t="str">
        <f>VLOOKUP(Call_Center_Data[[#This Row],[Call Type ID]], Call_Type[], 2, FALSE)</f>
        <v>Tech Sup</v>
      </c>
    </row>
    <row r="724" spans="1:12" x14ac:dyDescent="0.3">
      <c r="A724">
        <v>723</v>
      </c>
      <c r="B724">
        <v>2</v>
      </c>
      <c r="C724" s="1">
        <v>45317</v>
      </c>
      <c r="D724" s="2" t="s">
        <v>77</v>
      </c>
      <c r="E724">
        <v>1</v>
      </c>
      <c r="F724">
        <v>22</v>
      </c>
      <c r="G724">
        <v>157</v>
      </c>
      <c r="H724">
        <v>138</v>
      </c>
      <c r="I724" t="str">
        <f>VLOOKUP(Call_Center_Data[[#This Row],[Emp ID]],Employee[],2,FALSE)</f>
        <v>Sam Saab</v>
      </c>
      <c r="J724" t="str">
        <f>VLOOKUP(Call_Center_Data[[#This Row],[Emp ID]], Employee[], 3, FALSE)</f>
        <v>Aurora, CO</v>
      </c>
      <c r="K724" t="str">
        <f>VLOOKUP(Call_Center_Data[[#This Row],[Emp ID]], Employee[], 4, FALSE)</f>
        <v>Timmy Mack</v>
      </c>
      <c r="L724" t="str">
        <f>VLOOKUP(Call_Center_Data[[#This Row],[Call Type ID]], Call_Type[], 2, FALSE)</f>
        <v>Sales</v>
      </c>
    </row>
    <row r="725" spans="1:12" x14ac:dyDescent="0.3">
      <c r="A725">
        <v>724</v>
      </c>
      <c r="B725">
        <v>1</v>
      </c>
      <c r="C725" s="1">
        <v>45318</v>
      </c>
      <c r="D725" s="2" t="s">
        <v>88</v>
      </c>
      <c r="E725">
        <v>1</v>
      </c>
      <c r="F725">
        <v>16</v>
      </c>
      <c r="G725">
        <v>169</v>
      </c>
      <c r="H725">
        <v>168</v>
      </c>
      <c r="I725" t="str">
        <f>VLOOKUP(Call_Center_Data[[#This Row],[Emp ID]],Employee[],2,FALSE)</f>
        <v>Gina Gilder</v>
      </c>
      <c r="J725" t="str">
        <f>VLOOKUP(Call_Center_Data[[#This Row],[Emp ID]], Employee[], 3, FALSE)</f>
        <v>Jacksonville, WA</v>
      </c>
      <c r="K725" t="str">
        <f>VLOOKUP(Call_Center_Data[[#This Row],[Emp ID]], Employee[], 4, FALSE)</f>
        <v>Pierce Rhodes</v>
      </c>
      <c r="L725" t="str">
        <f>VLOOKUP(Call_Center_Data[[#This Row],[Call Type ID]], Call_Type[], 2, FALSE)</f>
        <v>Billing</v>
      </c>
    </row>
    <row r="726" spans="1:12" x14ac:dyDescent="0.3">
      <c r="A726">
        <v>725</v>
      </c>
      <c r="B726">
        <v>2</v>
      </c>
      <c r="C726" s="1">
        <v>45319</v>
      </c>
      <c r="D726" s="2" t="s">
        <v>70</v>
      </c>
      <c r="E726">
        <v>1</v>
      </c>
      <c r="F726">
        <v>20</v>
      </c>
      <c r="G726">
        <v>161</v>
      </c>
      <c r="H726">
        <v>174</v>
      </c>
      <c r="I726" t="str">
        <f>VLOOKUP(Call_Center_Data[[#This Row],[Emp ID]],Employee[],2,FALSE)</f>
        <v>Jill Pat</v>
      </c>
      <c r="J726" t="str">
        <f>VLOOKUP(Call_Center_Data[[#This Row],[Emp ID]], Employee[], 3, FALSE)</f>
        <v>Aurora, CO</v>
      </c>
      <c r="K726" t="str">
        <f>VLOOKUP(Call_Center_Data[[#This Row],[Emp ID]], Employee[], 4, FALSE)</f>
        <v>Henry Rhodes</v>
      </c>
      <c r="L726" t="str">
        <f>VLOOKUP(Call_Center_Data[[#This Row],[Call Type ID]], Call_Type[], 2, FALSE)</f>
        <v>Sales</v>
      </c>
    </row>
    <row r="727" spans="1:12" x14ac:dyDescent="0.3">
      <c r="A727">
        <v>726</v>
      </c>
      <c r="B727">
        <v>2</v>
      </c>
      <c r="C727" s="1">
        <v>45320</v>
      </c>
      <c r="D727" s="2" t="s">
        <v>72</v>
      </c>
      <c r="E727">
        <v>1</v>
      </c>
      <c r="F727">
        <v>14</v>
      </c>
      <c r="G727">
        <v>186</v>
      </c>
      <c r="H727">
        <v>58</v>
      </c>
      <c r="I727" t="str">
        <f>VLOOKUP(Call_Center_Data[[#This Row],[Emp ID]],Employee[],2,FALSE)</f>
        <v>Ultor Pat</v>
      </c>
      <c r="J727" t="str">
        <f>VLOOKUP(Call_Center_Data[[#This Row],[Emp ID]], Employee[], 3, FALSE)</f>
        <v>Jacksonville, WA</v>
      </c>
      <c r="K727" t="str">
        <f>VLOOKUP(Call_Center_Data[[#This Row],[Emp ID]], Employee[], 4, FALSE)</f>
        <v>Jenny Hall</v>
      </c>
      <c r="L727" t="str">
        <f>VLOOKUP(Call_Center_Data[[#This Row],[Call Type ID]], Call_Type[], 2, FALSE)</f>
        <v>Sales</v>
      </c>
    </row>
    <row r="728" spans="1:12" x14ac:dyDescent="0.3">
      <c r="A728">
        <v>727</v>
      </c>
      <c r="B728">
        <v>3</v>
      </c>
      <c r="C728" s="1">
        <v>45321</v>
      </c>
      <c r="D728" s="2" t="s">
        <v>86</v>
      </c>
      <c r="E728">
        <v>0</v>
      </c>
      <c r="F728">
        <v>20</v>
      </c>
      <c r="G728">
        <v>168</v>
      </c>
      <c r="H728">
        <v>152</v>
      </c>
      <c r="I728" t="str">
        <f>VLOOKUP(Call_Center_Data[[#This Row],[Emp ID]],Employee[],2,FALSE)</f>
        <v>Jill Gilder</v>
      </c>
      <c r="J728" t="str">
        <f>VLOOKUP(Call_Center_Data[[#This Row],[Emp ID]], Employee[], 3, FALSE)</f>
        <v>Aurora, CO</v>
      </c>
      <c r="K728" t="str">
        <f>VLOOKUP(Call_Center_Data[[#This Row],[Emp ID]], Employee[], 4, FALSE)</f>
        <v>Jenny Baas</v>
      </c>
      <c r="L728" t="str">
        <f>VLOOKUP(Call_Center_Data[[#This Row],[Call Type ID]], Call_Type[], 2, FALSE)</f>
        <v>Tech Sup</v>
      </c>
    </row>
    <row r="729" spans="1:12" x14ac:dyDescent="0.3">
      <c r="A729">
        <v>728</v>
      </c>
      <c r="B729">
        <v>1</v>
      </c>
      <c r="C729" s="1">
        <v>45322</v>
      </c>
      <c r="D729" s="2" t="s">
        <v>64</v>
      </c>
      <c r="E729">
        <v>0</v>
      </c>
      <c r="F729">
        <v>24</v>
      </c>
      <c r="G729">
        <v>171</v>
      </c>
      <c r="H729">
        <v>190</v>
      </c>
      <c r="I729" t="str">
        <f>VLOOKUP(Call_Center_Data[[#This Row],[Emp ID]],Employee[],2,FALSE)</f>
        <v>Jill Simons</v>
      </c>
      <c r="J729" t="str">
        <f>VLOOKUP(Call_Center_Data[[#This Row],[Emp ID]], Employee[], 3, FALSE)</f>
        <v>Spokane, WA</v>
      </c>
      <c r="K729" t="str">
        <f>VLOOKUP(Call_Center_Data[[#This Row],[Emp ID]], Employee[], 4, FALSE)</f>
        <v>Jenny Rhodes</v>
      </c>
      <c r="L729" t="str">
        <f>VLOOKUP(Call_Center_Data[[#This Row],[Call Type ID]], Call_Type[], 2, FALSE)</f>
        <v>Billing</v>
      </c>
    </row>
    <row r="730" spans="1:12" x14ac:dyDescent="0.3">
      <c r="A730">
        <v>729</v>
      </c>
      <c r="B730">
        <v>2</v>
      </c>
      <c r="C730" s="1">
        <v>45323</v>
      </c>
      <c r="D730" s="2" t="s">
        <v>70</v>
      </c>
      <c r="E730">
        <v>1</v>
      </c>
      <c r="F730">
        <v>17</v>
      </c>
      <c r="G730">
        <v>166</v>
      </c>
      <c r="H730">
        <v>333</v>
      </c>
      <c r="I730" t="str">
        <f>VLOOKUP(Call_Center_Data[[#This Row],[Emp ID]],Employee[],2,FALSE)</f>
        <v>Jill Pat</v>
      </c>
      <c r="J730" t="str">
        <f>VLOOKUP(Call_Center_Data[[#This Row],[Emp ID]], Employee[], 3, FALSE)</f>
        <v>Aurora, CO</v>
      </c>
      <c r="K730" t="str">
        <f>VLOOKUP(Call_Center_Data[[#This Row],[Emp ID]], Employee[], 4, FALSE)</f>
        <v>Henry Rhodes</v>
      </c>
      <c r="L730" t="str">
        <f>VLOOKUP(Call_Center_Data[[#This Row],[Call Type ID]], Call_Type[], 2, FALSE)</f>
        <v>Sales</v>
      </c>
    </row>
    <row r="731" spans="1:12" x14ac:dyDescent="0.3">
      <c r="A731">
        <v>730</v>
      </c>
      <c r="B731">
        <v>2</v>
      </c>
      <c r="C731" s="1">
        <v>45324</v>
      </c>
      <c r="D731" s="2" t="s">
        <v>85</v>
      </c>
      <c r="E731">
        <v>0</v>
      </c>
      <c r="F731">
        <v>30</v>
      </c>
      <c r="G731">
        <v>178</v>
      </c>
      <c r="H731">
        <v>299</v>
      </c>
      <c r="I731" t="str">
        <f>VLOOKUP(Call_Center_Data[[#This Row],[Emp ID]],Employee[],2,FALSE)</f>
        <v>Tina Gilder</v>
      </c>
      <c r="J731" t="str">
        <f>VLOOKUP(Call_Center_Data[[#This Row],[Emp ID]], Employee[], 3, FALSE)</f>
        <v>Spokane, WA</v>
      </c>
      <c r="K731" t="str">
        <f>VLOOKUP(Call_Center_Data[[#This Row],[Emp ID]], Employee[], 4, FALSE)</f>
        <v>Timmy Baas</v>
      </c>
      <c r="L731" t="str">
        <f>VLOOKUP(Call_Center_Data[[#This Row],[Call Type ID]], Call_Type[], 2, FALSE)</f>
        <v>Sales</v>
      </c>
    </row>
    <row r="732" spans="1:12" x14ac:dyDescent="0.3">
      <c r="A732">
        <v>731</v>
      </c>
      <c r="B732">
        <v>1</v>
      </c>
      <c r="C732" s="1">
        <v>45325</v>
      </c>
      <c r="D732" s="2" t="s">
        <v>84</v>
      </c>
      <c r="E732">
        <v>1</v>
      </c>
      <c r="F732">
        <v>25</v>
      </c>
      <c r="G732">
        <v>165</v>
      </c>
      <c r="H732">
        <v>176</v>
      </c>
      <c r="I732" t="str">
        <f>VLOOKUP(Call_Center_Data[[#This Row],[Emp ID]],Employee[],2,FALSE)</f>
        <v>Sam John</v>
      </c>
      <c r="J732" t="str">
        <f>VLOOKUP(Call_Center_Data[[#This Row],[Emp ID]], Employee[], 3, FALSE)</f>
        <v>Aurora, CO</v>
      </c>
      <c r="K732" t="str">
        <f>VLOOKUP(Call_Center_Data[[#This Row],[Emp ID]], Employee[], 4, FALSE)</f>
        <v>Jenny Mack</v>
      </c>
      <c r="L732" t="str">
        <f>VLOOKUP(Call_Center_Data[[#This Row],[Call Type ID]], Call_Type[], 2, FALSE)</f>
        <v>Billing</v>
      </c>
    </row>
    <row r="733" spans="1:12" x14ac:dyDescent="0.3">
      <c r="A733">
        <v>732</v>
      </c>
      <c r="B733">
        <v>1</v>
      </c>
      <c r="C733" s="1">
        <v>45326</v>
      </c>
      <c r="D733" s="2" t="s">
        <v>80</v>
      </c>
      <c r="E733">
        <v>1</v>
      </c>
      <c r="F733">
        <v>34</v>
      </c>
      <c r="G733">
        <v>169</v>
      </c>
      <c r="H733">
        <v>300</v>
      </c>
      <c r="I733" t="str">
        <f>VLOOKUP(Call_Center_Data[[#This Row],[Emp ID]],Employee[],2,FALSE)</f>
        <v>Tina Simons</v>
      </c>
      <c r="J733" t="str">
        <f>VLOOKUP(Call_Center_Data[[#This Row],[Emp ID]], Employee[], 3, FALSE)</f>
        <v>Aurora, CO</v>
      </c>
      <c r="K733" t="str">
        <f>VLOOKUP(Call_Center_Data[[#This Row],[Emp ID]], Employee[], 4, FALSE)</f>
        <v>Pierce Gill</v>
      </c>
      <c r="L733" t="str">
        <f>VLOOKUP(Call_Center_Data[[#This Row],[Call Type ID]], Call_Type[], 2, FALSE)</f>
        <v>Billing</v>
      </c>
    </row>
    <row r="734" spans="1:12" x14ac:dyDescent="0.3">
      <c r="A734">
        <v>733</v>
      </c>
      <c r="B734">
        <v>2</v>
      </c>
      <c r="C734" s="1">
        <v>45327</v>
      </c>
      <c r="D734" s="2" t="s">
        <v>84</v>
      </c>
      <c r="E734">
        <v>0</v>
      </c>
      <c r="F734">
        <v>20</v>
      </c>
      <c r="G734">
        <v>125</v>
      </c>
      <c r="H734">
        <v>117</v>
      </c>
      <c r="I734" t="str">
        <f>VLOOKUP(Call_Center_Data[[#This Row],[Emp ID]],Employee[],2,FALSE)</f>
        <v>Sam John</v>
      </c>
      <c r="J734" t="str">
        <f>VLOOKUP(Call_Center_Data[[#This Row],[Emp ID]], Employee[], 3, FALSE)</f>
        <v>Aurora, CO</v>
      </c>
      <c r="K734" t="str">
        <f>VLOOKUP(Call_Center_Data[[#This Row],[Emp ID]], Employee[], 4, FALSE)</f>
        <v>Jenny Mack</v>
      </c>
      <c r="L734" t="str">
        <f>VLOOKUP(Call_Center_Data[[#This Row],[Call Type ID]], Call_Type[], 2, FALSE)</f>
        <v>Sales</v>
      </c>
    </row>
    <row r="735" spans="1:12" x14ac:dyDescent="0.3">
      <c r="A735">
        <v>734</v>
      </c>
      <c r="B735">
        <v>2</v>
      </c>
      <c r="C735" s="1">
        <v>45328</v>
      </c>
      <c r="D735" s="2" t="s">
        <v>73</v>
      </c>
      <c r="E735">
        <v>1</v>
      </c>
      <c r="F735">
        <v>17</v>
      </c>
      <c r="G735">
        <v>175</v>
      </c>
      <c r="H735">
        <v>195</v>
      </c>
      <c r="I735" t="str">
        <f>VLOOKUP(Call_Center_Data[[#This Row],[Emp ID]],Employee[],2,FALSE)</f>
        <v>Jill John</v>
      </c>
      <c r="J735" t="str">
        <f>VLOOKUP(Call_Center_Data[[#This Row],[Emp ID]], Employee[], 3, FALSE)</f>
        <v>Spokane, WA</v>
      </c>
      <c r="K735" t="str">
        <f>VLOOKUP(Call_Center_Data[[#This Row],[Emp ID]], Employee[], 4, FALSE)</f>
        <v>John Gill</v>
      </c>
      <c r="L735" t="str">
        <f>VLOOKUP(Call_Center_Data[[#This Row],[Call Type ID]], Call_Type[], 2, FALSE)</f>
        <v>Sales</v>
      </c>
    </row>
    <row r="736" spans="1:12" x14ac:dyDescent="0.3">
      <c r="A736">
        <v>735</v>
      </c>
      <c r="B736">
        <v>2</v>
      </c>
      <c r="C736" s="1">
        <v>45329</v>
      </c>
      <c r="D736" s="2" t="s">
        <v>73</v>
      </c>
      <c r="E736">
        <v>0</v>
      </c>
      <c r="F736">
        <v>18</v>
      </c>
      <c r="G736">
        <v>167</v>
      </c>
      <c r="H736">
        <v>198</v>
      </c>
      <c r="I736" t="str">
        <f>VLOOKUP(Call_Center_Data[[#This Row],[Emp ID]],Employee[],2,FALSE)</f>
        <v>Jill John</v>
      </c>
      <c r="J736" t="str">
        <f>VLOOKUP(Call_Center_Data[[#This Row],[Emp ID]], Employee[], 3, FALSE)</f>
        <v>Spokane, WA</v>
      </c>
      <c r="K736" t="str">
        <f>VLOOKUP(Call_Center_Data[[#This Row],[Emp ID]], Employee[], 4, FALSE)</f>
        <v>John Gill</v>
      </c>
      <c r="L736" t="str">
        <f>VLOOKUP(Call_Center_Data[[#This Row],[Call Type ID]], Call_Type[], 2, FALSE)</f>
        <v>Sales</v>
      </c>
    </row>
    <row r="737" spans="1:12" x14ac:dyDescent="0.3">
      <c r="A737">
        <v>736</v>
      </c>
      <c r="B737">
        <v>1</v>
      </c>
      <c r="C737" s="1">
        <v>45330</v>
      </c>
      <c r="D737" s="2" t="s">
        <v>68</v>
      </c>
      <c r="E737">
        <v>0</v>
      </c>
      <c r="F737">
        <v>22</v>
      </c>
      <c r="G737">
        <v>167</v>
      </c>
      <c r="H737">
        <v>114</v>
      </c>
      <c r="I737" t="str">
        <f>VLOOKUP(Call_Center_Data[[#This Row],[Emp ID]],Employee[],2,FALSE)</f>
        <v>Tina Saab</v>
      </c>
      <c r="J737" t="str">
        <f>VLOOKUP(Call_Center_Data[[#This Row],[Emp ID]], Employee[], 3, FALSE)</f>
        <v>Spokane, WA</v>
      </c>
      <c r="K737" t="str">
        <f>VLOOKUP(Call_Center_Data[[#This Row],[Emp ID]], Employee[], 4, FALSE)</f>
        <v>Henry Baas</v>
      </c>
      <c r="L737" t="str">
        <f>VLOOKUP(Call_Center_Data[[#This Row],[Call Type ID]], Call_Type[], 2, FALSE)</f>
        <v>Billing</v>
      </c>
    </row>
    <row r="738" spans="1:12" x14ac:dyDescent="0.3">
      <c r="A738">
        <v>737</v>
      </c>
      <c r="B738">
        <v>1</v>
      </c>
      <c r="C738" s="1">
        <v>45331</v>
      </c>
      <c r="D738" s="2" t="s">
        <v>79</v>
      </c>
      <c r="E738">
        <v>0</v>
      </c>
      <c r="F738">
        <v>26</v>
      </c>
      <c r="G738">
        <v>172</v>
      </c>
      <c r="H738">
        <v>275</v>
      </c>
      <c r="I738" t="str">
        <f>VLOOKUP(Call_Center_Data[[#This Row],[Emp ID]],Employee[],2,FALSE)</f>
        <v>Gina Simons</v>
      </c>
      <c r="J738" t="str">
        <f>VLOOKUP(Call_Center_Data[[#This Row],[Emp ID]], Employee[], 3, FALSE)</f>
        <v>Spokane, WA</v>
      </c>
      <c r="K738" t="str">
        <f>VLOOKUP(Call_Center_Data[[#This Row],[Emp ID]], Employee[], 4, FALSE)</f>
        <v>John Rhodes</v>
      </c>
      <c r="L738" t="str">
        <f>VLOOKUP(Call_Center_Data[[#This Row],[Call Type ID]], Call_Type[], 2, FALSE)</f>
        <v>Billing</v>
      </c>
    </row>
    <row r="739" spans="1:12" x14ac:dyDescent="0.3">
      <c r="A739">
        <v>738</v>
      </c>
      <c r="B739">
        <v>3</v>
      </c>
      <c r="C739" s="1">
        <v>45332</v>
      </c>
      <c r="D739" s="2" t="s">
        <v>66</v>
      </c>
      <c r="E739">
        <v>0</v>
      </c>
      <c r="F739">
        <v>19</v>
      </c>
      <c r="G739">
        <v>149</v>
      </c>
      <c r="H739">
        <v>246</v>
      </c>
      <c r="I739" t="str">
        <f>VLOOKUP(Call_Center_Data[[#This Row],[Emp ID]],Employee[],2,FALSE)</f>
        <v>Tina John</v>
      </c>
      <c r="J739" t="str">
        <f>VLOOKUP(Call_Center_Data[[#This Row],[Emp ID]], Employee[], 3, FALSE)</f>
        <v>Aurora, CO</v>
      </c>
      <c r="K739" t="str">
        <f>VLOOKUP(Call_Center_Data[[#This Row],[Emp ID]], Employee[], 4, FALSE)</f>
        <v>Timmy Rhodes</v>
      </c>
      <c r="L739" t="str">
        <f>VLOOKUP(Call_Center_Data[[#This Row],[Call Type ID]], Call_Type[], 2, FALSE)</f>
        <v>Tech Sup</v>
      </c>
    </row>
    <row r="740" spans="1:12" x14ac:dyDescent="0.3">
      <c r="A740">
        <v>739</v>
      </c>
      <c r="B740">
        <v>2</v>
      </c>
      <c r="C740" s="1">
        <v>45333</v>
      </c>
      <c r="D740" s="2" t="s">
        <v>79</v>
      </c>
      <c r="E740">
        <v>1</v>
      </c>
      <c r="F740">
        <v>19</v>
      </c>
      <c r="G740">
        <v>147</v>
      </c>
      <c r="H740">
        <v>164</v>
      </c>
      <c r="I740" t="str">
        <f>VLOOKUP(Call_Center_Data[[#This Row],[Emp ID]],Employee[],2,FALSE)</f>
        <v>Gina Simons</v>
      </c>
      <c r="J740" t="str">
        <f>VLOOKUP(Call_Center_Data[[#This Row],[Emp ID]], Employee[], 3, FALSE)</f>
        <v>Spokane, WA</v>
      </c>
      <c r="K740" t="str">
        <f>VLOOKUP(Call_Center_Data[[#This Row],[Emp ID]], Employee[], 4, FALSE)</f>
        <v>John Rhodes</v>
      </c>
      <c r="L740" t="str">
        <f>VLOOKUP(Call_Center_Data[[#This Row],[Call Type ID]], Call_Type[], 2, FALSE)</f>
        <v>Sales</v>
      </c>
    </row>
    <row r="741" spans="1:12" x14ac:dyDescent="0.3">
      <c r="A741">
        <v>740</v>
      </c>
      <c r="B741">
        <v>2</v>
      </c>
      <c r="C741" s="1">
        <v>45334</v>
      </c>
      <c r="D741" s="2" t="s">
        <v>74</v>
      </c>
      <c r="E741">
        <v>1</v>
      </c>
      <c r="F741">
        <v>16</v>
      </c>
      <c r="G741">
        <v>146</v>
      </c>
      <c r="H741">
        <v>158</v>
      </c>
      <c r="I741" t="str">
        <f>VLOOKUP(Call_Center_Data[[#This Row],[Emp ID]],Employee[],2,FALSE)</f>
        <v>Gina John</v>
      </c>
      <c r="J741" t="str">
        <f>VLOOKUP(Call_Center_Data[[#This Row],[Emp ID]], Employee[], 3, FALSE)</f>
        <v>Jacksonville, WA</v>
      </c>
      <c r="K741" t="str">
        <f>VLOOKUP(Call_Center_Data[[#This Row],[Emp ID]], Employee[], 4, FALSE)</f>
        <v>Henry Gill</v>
      </c>
      <c r="L741" t="str">
        <f>VLOOKUP(Call_Center_Data[[#This Row],[Call Type ID]], Call_Type[], 2, FALSE)</f>
        <v>Sales</v>
      </c>
    </row>
    <row r="742" spans="1:12" x14ac:dyDescent="0.3">
      <c r="A742">
        <v>741</v>
      </c>
      <c r="B742">
        <v>1</v>
      </c>
      <c r="C742" s="1">
        <v>45335</v>
      </c>
      <c r="D742" s="2" t="s">
        <v>84</v>
      </c>
      <c r="E742">
        <v>1</v>
      </c>
      <c r="F742">
        <v>32</v>
      </c>
      <c r="G742">
        <v>142</v>
      </c>
      <c r="H742">
        <v>236</v>
      </c>
      <c r="I742" t="str">
        <f>VLOOKUP(Call_Center_Data[[#This Row],[Emp ID]],Employee[],2,FALSE)</f>
        <v>Sam John</v>
      </c>
      <c r="J742" t="str">
        <f>VLOOKUP(Call_Center_Data[[#This Row],[Emp ID]], Employee[], 3, FALSE)</f>
        <v>Aurora, CO</v>
      </c>
      <c r="K742" t="str">
        <f>VLOOKUP(Call_Center_Data[[#This Row],[Emp ID]], Employee[], 4, FALSE)</f>
        <v>Jenny Mack</v>
      </c>
      <c r="L742" t="str">
        <f>VLOOKUP(Call_Center_Data[[#This Row],[Call Type ID]], Call_Type[], 2, FALSE)</f>
        <v>Billing</v>
      </c>
    </row>
    <row r="743" spans="1:12" x14ac:dyDescent="0.3">
      <c r="A743">
        <v>742</v>
      </c>
      <c r="B743">
        <v>1</v>
      </c>
      <c r="C743" s="1">
        <v>45336</v>
      </c>
      <c r="D743" s="2" t="s">
        <v>68</v>
      </c>
      <c r="E743">
        <v>0</v>
      </c>
      <c r="F743">
        <v>27</v>
      </c>
      <c r="G743">
        <v>168</v>
      </c>
      <c r="H743">
        <v>193</v>
      </c>
      <c r="I743" t="str">
        <f>VLOOKUP(Call_Center_Data[[#This Row],[Emp ID]],Employee[],2,FALSE)</f>
        <v>Tina Saab</v>
      </c>
      <c r="J743" t="str">
        <f>VLOOKUP(Call_Center_Data[[#This Row],[Emp ID]], Employee[], 3, FALSE)</f>
        <v>Spokane, WA</v>
      </c>
      <c r="K743" t="str">
        <f>VLOOKUP(Call_Center_Data[[#This Row],[Emp ID]], Employee[], 4, FALSE)</f>
        <v>Henry Baas</v>
      </c>
      <c r="L743" t="str">
        <f>VLOOKUP(Call_Center_Data[[#This Row],[Call Type ID]], Call_Type[], 2, FALSE)</f>
        <v>Billing</v>
      </c>
    </row>
    <row r="744" spans="1:12" x14ac:dyDescent="0.3">
      <c r="A744">
        <v>743</v>
      </c>
      <c r="B744">
        <v>3</v>
      </c>
      <c r="C744" s="1">
        <v>45337</v>
      </c>
      <c r="D744" s="2" t="s">
        <v>69</v>
      </c>
      <c r="E744">
        <v>0</v>
      </c>
      <c r="F744">
        <v>19</v>
      </c>
      <c r="G744">
        <v>161</v>
      </c>
      <c r="H744">
        <v>168</v>
      </c>
      <c r="I744" t="str">
        <f>VLOOKUP(Call_Center_Data[[#This Row],[Emp ID]],Employee[],2,FALSE)</f>
        <v>Sam Gilder</v>
      </c>
      <c r="J744" t="str">
        <f>VLOOKUP(Call_Center_Data[[#This Row],[Emp ID]], Employee[], 3, FALSE)</f>
        <v>Jacksonville, WA</v>
      </c>
      <c r="K744" t="str">
        <f>VLOOKUP(Call_Center_Data[[#This Row],[Emp ID]], Employee[], 4, FALSE)</f>
        <v>Timmy Hall</v>
      </c>
      <c r="L744" t="str">
        <f>VLOOKUP(Call_Center_Data[[#This Row],[Call Type ID]], Call_Type[], 2, FALSE)</f>
        <v>Tech Sup</v>
      </c>
    </row>
    <row r="745" spans="1:12" x14ac:dyDescent="0.3">
      <c r="A745">
        <v>744</v>
      </c>
      <c r="B745">
        <v>1</v>
      </c>
      <c r="C745" s="1">
        <v>45338</v>
      </c>
      <c r="D745" s="2" t="s">
        <v>77</v>
      </c>
      <c r="E745">
        <v>0</v>
      </c>
      <c r="F745">
        <v>31</v>
      </c>
      <c r="G745">
        <v>169</v>
      </c>
      <c r="H745">
        <v>493</v>
      </c>
      <c r="I745" t="str">
        <f>VLOOKUP(Call_Center_Data[[#This Row],[Emp ID]],Employee[],2,FALSE)</f>
        <v>Sam Saab</v>
      </c>
      <c r="J745" t="str">
        <f>VLOOKUP(Call_Center_Data[[#This Row],[Emp ID]], Employee[], 3, FALSE)</f>
        <v>Aurora, CO</v>
      </c>
      <c r="K745" t="str">
        <f>VLOOKUP(Call_Center_Data[[#This Row],[Emp ID]], Employee[], 4, FALSE)</f>
        <v>Timmy Mack</v>
      </c>
      <c r="L745" t="str">
        <f>VLOOKUP(Call_Center_Data[[#This Row],[Call Type ID]], Call_Type[], 2, FALSE)</f>
        <v>Billing</v>
      </c>
    </row>
    <row r="746" spans="1:12" x14ac:dyDescent="0.3">
      <c r="A746">
        <v>745</v>
      </c>
      <c r="B746">
        <v>2</v>
      </c>
      <c r="C746" s="1">
        <v>45339</v>
      </c>
      <c r="D746" s="2" t="s">
        <v>88</v>
      </c>
      <c r="E746">
        <v>0</v>
      </c>
      <c r="F746">
        <v>26</v>
      </c>
      <c r="G746">
        <v>181</v>
      </c>
      <c r="H746">
        <v>220</v>
      </c>
      <c r="I746" t="str">
        <f>VLOOKUP(Call_Center_Data[[#This Row],[Emp ID]],Employee[],2,FALSE)</f>
        <v>Gina Gilder</v>
      </c>
      <c r="J746" t="str">
        <f>VLOOKUP(Call_Center_Data[[#This Row],[Emp ID]], Employee[], 3, FALSE)</f>
        <v>Jacksonville, WA</v>
      </c>
      <c r="K746" t="str">
        <f>VLOOKUP(Call_Center_Data[[#This Row],[Emp ID]], Employee[], 4, FALSE)</f>
        <v>Pierce Rhodes</v>
      </c>
      <c r="L746" t="str">
        <f>VLOOKUP(Call_Center_Data[[#This Row],[Call Type ID]], Call_Type[], 2, FALSE)</f>
        <v>Sales</v>
      </c>
    </row>
    <row r="747" spans="1:12" x14ac:dyDescent="0.3">
      <c r="A747">
        <v>746</v>
      </c>
      <c r="B747">
        <v>1</v>
      </c>
      <c r="C747" s="1">
        <v>45340</v>
      </c>
      <c r="D747" s="2" t="s">
        <v>82</v>
      </c>
      <c r="E747">
        <v>0</v>
      </c>
      <c r="F747">
        <v>25</v>
      </c>
      <c r="G747">
        <v>170</v>
      </c>
      <c r="H747">
        <v>243</v>
      </c>
      <c r="I747" t="str">
        <f>VLOOKUP(Call_Center_Data[[#This Row],[Emp ID]],Employee[],2,FALSE)</f>
        <v>Ultor Gilder</v>
      </c>
      <c r="J747" t="str">
        <f>VLOOKUP(Call_Center_Data[[#This Row],[Emp ID]], Employee[], 3, FALSE)</f>
        <v>Aurora, CO</v>
      </c>
      <c r="K747" t="str">
        <f>VLOOKUP(Call_Center_Data[[#This Row],[Emp ID]], Employee[], 4, FALSE)</f>
        <v>Pierce Mack</v>
      </c>
      <c r="L747" t="str">
        <f>VLOOKUP(Call_Center_Data[[#This Row],[Call Type ID]], Call_Type[], 2, FALSE)</f>
        <v>Billing</v>
      </c>
    </row>
    <row r="748" spans="1:12" x14ac:dyDescent="0.3">
      <c r="A748">
        <v>747</v>
      </c>
      <c r="B748">
        <v>1</v>
      </c>
      <c r="C748" s="1">
        <v>45341</v>
      </c>
      <c r="D748" s="2" t="s">
        <v>72</v>
      </c>
      <c r="E748">
        <v>1</v>
      </c>
      <c r="F748">
        <v>35</v>
      </c>
      <c r="G748">
        <v>173</v>
      </c>
      <c r="H748">
        <v>178</v>
      </c>
      <c r="I748" t="str">
        <f>VLOOKUP(Call_Center_Data[[#This Row],[Emp ID]],Employee[],2,FALSE)</f>
        <v>Ultor Pat</v>
      </c>
      <c r="J748" t="str">
        <f>VLOOKUP(Call_Center_Data[[#This Row],[Emp ID]], Employee[], 3, FALSE)</f>
        <v>Jacksonville, WA</v>
      </c>
      <c r="K748" t="str">
        <f>VLOOKUP(Call_Center_Data[[#This Row],[Emp ID]], Employee[], 4, FALSE)</f>
        <v>Jenny Hall</v>
      </c>
      <c r="L748" t="str">
        <f>VLOOKUP(Call_Center_Data[[#This Row],[Call Type ID]], Call_Type[], 2, FALSE)</f>
        <v>Billing</v>
      </c>
    </row>
    <row r="749" spans="1:12" x14ac:dyDescent="0.3">
      <c r="A749">
        <v>748</v>
      </c>
      <c r="B749">
        <v>1</v>
      </c>
      <c r="C749" s="1">
        <v>45342</v>
      </c>
      <c r="D749" s="2" t="s">
        <v>77</v>
      </c>
      <c r="E749">
        <v>1</v>
      </c>
      <c r="F749">
        <v>23</v>
      </c>
      <c r="G749">
        <v>164</v>
      </c>
      <c r="H749">
        <v>125</v>
      </c>
      <c r="I749" t="str">
        <f>VLOOKUP(Call_Center_Data[[#This Row],[Emp ID]],Employee[],2,FALSE)</f>
        <v>Sam Saab</v>
      </c>
      <c r="J749" t="str">
        <f>VLOOKUP(Call_Center_Data[[#This Row],[Emp ID]], Employee[], 3, FALSE)</f>
        <v>Aurora, CO</v>
      </c>
      <c r="K749" t="str">
        <f>VLOOKUP(Call_Center_Data[[#This Row],[Emp ID]], Employee[], 4, FALSE)</f>
        <v>Timmy Mack</v>
      </c>
      <c r="L749" t="str">
        <f>VLOOKUP(Call_Center_Data[[#This Row],[Call Type ID]], Call_Type[], 2, FALSE)</f>
        <v>Billing</v>
      </c>
    </row>
    <row r="750" spans="1:12" x14ac:dyDescent="0.3">
      <c r="A750">
        <v>749</v>
      </c>
      <c r="B750">
        <v>3</v>
      </c>
      <c r="C750" s="1">
        <v>45343</v>
      </c>
      <c r="D750" s="2" t="s">
        <v>70</v>
      </c>
      <c r="E750">
        <v>1</v>
      </c>
      <c r="F750">
        <v>16</v>
      </c>
      <c r="G750">
        <v>167</v>
      </c>
      <c r="H750">
        <v>381</v>
      </c>
      <c r="I750" t="str">
        <f>VLOOKUP(Call_Center_Data[[#This Row],[Emp ID]],Employee[],2,FALSE)</f>
        <v>Jill Pat</v>
      </c>
      <c r="J750" t="str">
        <f>VLOOKUP(Call_Center_Data[[#This Row],[Emp ID]], Employee[], 3, FALSE)</f>
        <v>Aurora, CO</v>
      </c>
      <c r="K750" t="str">
        <f>VLOOKUP(Call_Center_Data[[#This Row],[Emp ID]], Employee[], 4, FALSE)</f>
        <v>Henry Rhodes</v>
      </c>
      <c r="L750" t="str">
        <f>VLOOKUP(Call_Center_Data[[#This Row],[Call Type ID]], Call_Type[], 2, FALSE)</f>
        <v>Tech Sup</v>
      </c>
    </row>
    <row r="751" spans="1:12" x14ac:dyDescent="0.3">
      <c r="A751">
        <v>750</v>
      </c>
      <c r="B751">
        <v>3</v>
      </c>
      <c r="C751" s="1">
        <v>45344</v>
      </c>
      <c r="D751" s="2" t="s">
        <v>85</v>
      </c>
      <c r="E751">
        <v>0</v>
      </c>
      <c r="F751">
        <v>21</v>
      </c>
      <c r="G751">
        <v>138</v>
      </c>
      <c r="H751">
        <v>168</v>
      </c>
      <c r="I751" t="str">
        <f>VLOOKUP(Call_Center_Data[[#This Row],[Emp ID]],Employee[],2,FALSE)</f>
        <v>Tina Gilder</v>
      </c>
      <c r="J751" t="str">
        <f>VLOOKUP(Call_Center_Data[[#This Row],[Emp ID]], Employee[], 3, FALSE)</f>
        <v>Spokane, WA</v>
      </c>
      <c r="K751" t="str">
        <f>VLOOKUP(Call_Center_Data[[#This Row],[Emp ID]], Employee[], 4, FALSE)</f>
        <v>Timmy Baas</v>
      </c>
      <c r="L751" t="str">
        <f>VLOOKUP(Call_Center_Data[[#This Row],[Call Type ID]], Call_Type[], 2, FALSE)</f>
        <v>Tech Sup</v>
      </c>
    </row>
    <row r="752" spans="1:12" x14ac:dyDescent="0.3">
      <c r="A752">
        <v>751</v>
      </c>
      <c r="B752">
        <v>2</v>
      </c>
      <c r="C752" s="1">
        <v>45345</v>
      </c>
      <c r="D752" s="2" t="s">
        <v>88</v>
      </c>
      <c r="E752">
        <v>1</v>
      </c>
      <c r="F752">
        <v>19</v>
      </c>
      <c r="G752">
        <v>173</v>
      </c>
      <c r="H752">
        <v>276</v>
      </c>
      <c r="I752" t="str">
        <f>VLOOKUP(Call_Center_Data[[#This Row],[Emp ID]],Employee[],2,FALSE)</f>
        <v>Gina Gilder</v>
      </c>
      <c r="J752" t="str">
        <f>VLOOKUP(Call_Center_Data[[#This Row],[Emp ID]], Employee[], 3, FALSE)</f>
        <v>Jacksonville, WA</v>
      </c>
      <c r="K752" t="str">
        <f>VLOOKUP(Call_Center_Data[[#This Row],[Emp ID]], Employee[], 4, FALSE)</f>
        <v>Pierce Rhodes</v>
      </c>
      <c r="L752" t="str">
        <f>VLOOKUP(Call_Center_Data[[#This Row],[Call Type ID]], Call_Type[], 2, FALSE)</f>
        <v>Sales</v>
      </c>
    </row>
    <row r="753" spans="1:12" x14ac:dyDescent="0.3">
      <c r="A753">
        <v>752</v>
      </c>
      <c r="B753">
        <v>1</v>
      </c>
      <c r="C753" s="1">
        <v>45346</v>
      </c>
      <c r="D753" s="2" t="s">
        <v>73</v>
      </c>
      <c r="E753">
        <v>0</v>
      </c>
      <c r="F753">
        <v>25</v>
      </c>
      <c r="G753">
        <v>168</v>
      </c>
      <c r="H753">
        <v>437</v>
      </c>
      <c r="I753" t="str">
        <f>VLOOKUP(Call_Center_Data[[#This Row],[Emp ID]],Employee[],2,FALSE)</f>
        <v>Jill John</v>
      </c>
      <c r="J753" t="str">
        <f>VLOOKUP(Call_Center_Data[[#This Row],[Emp ID]], Employee[], 3, FALSE)</f>
        <v>Spokane, WA</v>
      </c>
      <c r="K753" t="str">
        <f>VLOOKUP(Call_Center_Data[[#This Row],[Emp ID]], Employee[], 4, FALSE)</f>
        <v>John Gill</v>
      </c>
      <c r="L753" t="str">
        <f>VLOOKUP(Call_Center_Data[[#This Row],[Call Type ID]], Call_Type[], 2, FALSE)</f>
        <v>Billing</v>
      </c>
    </row>
    <row r="754" spans="1:12" x14ac:dyDescent="0.3">
      <c r="A754">
        <v>753</v>
      </c>
      <c r="B754">
        <v>1</v>
      </c>
      <c r="C754" s="1">
        <v>45347</v>
      </c>
      <c r="D754" s="2" t="s">
        <v>73</v>
      </c>
      <c r="E754">
        <v>1</v>
      </c>
      <c r="F754">
        <v>47</v>
      </c>
      <c r="G754">
        <v>176</v>
      </c>
      <c r="H754">
        <v>196</v>
      </c>
      <c r="I754" t="str">
        <f>VLOOKUP(Call_Center_Data[[#This Row],[Emp ID]],Employee[],2,FALSE)</f>
        <v>Jill John</v>
      </c>
      <c r="J754" t="str">
        <f>VLOOKUP(Call_Center_Data[[#This Row],[Emp ID]], Employee[], 3, FALSE)</f>
        <v>Spokane, WA</v>
      </c>
      <c r="K754" t="str">
        <f>VLOOKUP(Call_Center_Data[[#This Row],[Emp ID]], Employee[], 4, FALSE)</f>
        <v>John Gill</v>
      </c>
      <c r="L754" t="str">
        <f>VLOOKUP(Call_Center_Data[[#This Row],[Call Type ID]], Call_Type[], 2, FALSE)</f>
        <v>Billing</v>
      </c>
    </row>
    <row r="755" spans="1:12" x14ac:dyDescent="0.3">
      <c r="A755">
        <v>754</v>
      </c>
      <c r="B755">
        <v>2</v>
      </c>
      <c r="C755" s="1">
        <v>45348</v>
      </c>
      <c r="D755" s="2" t="s">
        <v>88</v>
      </c>
      <c r="E755">
        <v>0</v>
      </c>
      <c r="F755">
        <v>38</v>
      </c>
      <c r="G755">
        <v>141</v>
      </c>
      <c r="H755">
        <v>136</v>
      </c>
      <c r="I755" t="str">
        <f>VLOOKUP(Call_Center_Data[[#This Row],[Emp ID]],Employee[],2,FALSE)</f>
        <v>Gina Gilder</v>
      </c>
      <c r="J755" t="str">
        <f>VLOOKUP(Call_Center_Data[[#This Row],[Emp ID]], Employee[], 3, FALSE)</f>
        <v>Jacksonville, WA</v>
      </c>
      <c r="K755" t="str">
        <f>VLOOKUP(Call_Center_Data[[#This Row],[Emp ID]], Employee[], 4, FALSE)</f>
        <v>Pierce Rhodes</v>
      </c>
      <c r="L755" t="str">
        <f>VLOOKUP(Call_Center_Data[[#This Row],[Call Type ID]], Call_Type[], 2, FALSE)</f>
        <v>Sales</v>
      </c>
    </row>
    <row r="756" spans="1:12" x14ac:dyDescent="0.3">
      <c r="A756">
        <v>755</v>
      </c>
      <c r="B756">
        <v>1</v>
      </c>
      <c r="C756" s="1">
        <v>45349</v>
      </c>
      <c r="D756" s="2" t="s">
        <v>76</v>
      </c>
      <c r="E756">
        <v>1</v>
      </c>
      <c r="F756">
        <v>21</v>
      </c>
      <c r="G756">
        <v>171</v>
      </c>
      <c r="H756">
        <v>237</v>
      </c>
      <c r="I756" t="str">
        <f>VLOOKUP(Call_Center_Data[[#This Row],[Emp ID]],Employee[],2,FALSE)</f>
        <v>Ultor Saab</v>
      </c>
      <c r="J756" t="str">
        <f>VLOOKUP(Call_Center_Data[[#This Row],[Emp ID]], Employee[], 3, FALSE)</f>
        <v>Aurora, CO</v>
      </c>
      <c r="K756" t="str">
        <f>VLOOKUP(Call_Center_Data[[#This Row],[Emp ID]], Employee[], 4, FALSE)</f>
        <v>Pierce Baas</v>
      </c>
      <c r="L756" t="str">
        <f>VLOOKUP(Call_Center_Data[[#This Row],[Call Type ID]], Call_Type[], 2, FALSE)</f>
        <v>Billing</v>
      </c>
    </row>
    <row r="757" spans="1:12" x14ac:dyDescent="0.3">
      <c r="A757">
        <v>756</v>
      </c>
      <c r="B757">
        <v>1</v>
      </c>
      <c r="C757" s="1">
        <v>45350</v>
      </c>
      <c r="D757" s="2" t="s">
        <v>81</v>
      </c>
      <c r="E757">
        <v>1</v>
      </c>
      <c r="F757">
        <v>22</v>
      </c>
      <c r="G757">
        <v>159</v>
      </c>
      <c r="H757">
        <v>158</v>
      </c>
      <c r="I757" t="str">
        <f>VLOOKUP(Call_Center_Data[[#This Row],[Emp ID]],Employee[],2,FALSE)</f>
        <v>Sam Simons</v>
      </c>
      <c r="J757" t="str">
        <f>VLOOKUP(Call_Center_Data[[#This Row],[Emp ID]], Employee[], 3, FALSE)</f>
        <v>Jacksonville, WA</v>
      </c>
      <c r="K757" t="str">
        <f>VLOOKUP(Call_Center_Data[[#This Row],[Emp ID]], Employee[], 4, FALSE)</f>
        <v>John Baas</v>
      </c>
      <c r="L757" t="str">
        <f>VLOOKUP(Call_Center_Data[[#This Row],[Call Type ID]], Call_Type[], 2, FALSE)</f>
        <v>Billing</v>
      </c>
    </row>
    <row r="758" spans="1:12" x14ac:dyDescent="0.3">
      <c r="A758">
        <v>757</v>
      </c>
      <c r="B758">
        <v>2</v>
      </c>
      <c r="C758" s="1">
        <v>45351</v>
      </c>
      <c r="D758" s="2" t="s">
        <v>77</v>
      </c>
      <c r="E758">
        <v>1</v>
      </c>
      <c r="F758">
        <v>34</v>
      </c>
      <c r="G758">
        <v>171</v>
      </c>
      <c r="H758">
        <v>271</v>
      </c>
      <c r="I758" t="str">
        <f>VLOOKUP(Call_Center_Data[[#This Row],[Emp ID]],Employee[],2,FALSE)</f>
        <v>Sam Saab</v>
      </c>
      <c r="J758" t="str">
        <f>VLOOKUP(Call_Center_Data[[#This Row],[Emp ID]], Employee[], 3, FALSE)</f>
        <v>Aurora, CO</v>
      </c>
      <c r="K758" t="str">
        <f>VLOOKUP(Call_Center_Data[[#This Row],[Emp ID]], Employee[], 4, FALSE)</f>
        <v>Timmy Mack</v>
      </c>
      <c r="L758" t="str">
        <f>VLOOKUP(Call_Center_Data[[#This Row],[Call Type ID]], Call_Type[], 2, FALSE)</f>
        <v>Sales</v>
      </c>
    </row>
    <row r="759" spans="1:12" x14ac:dyDescent="0.3">
      <c r="A759">
        <v>758</v>
      </c>
      <c r="B759">
        <v>1</v>
      </c>
      <c r="C759" s="1">
        <v>45352</v>
      </c>
      <c r="D759" s="2" t="s">
        <v>88</v>
      </c>
      <c r="E759">
        <v>1</v>
      </c>
      <c r="F759">
        <v>15</v>
      </c>
      <c r="G759">
        <v>176</v>
      </c>
      <c r="H759">
        <v>186</v>
      </c>
      <c r="I759" t="str">
        <f>VLOOKUP(Call_Center_Data[[#This Row],[Emp ID]],Employee[],2,FALSE)</f>
        <v>Gina Gilder</v>
      </c>
      <c r="J759" t="str">
        <f>VLOOKUP(Call_Center_Data[[#This Row],[Emp ID]], Employee[], 3, FALSE)</f>
        <v>Jacksonville, WA</v>
      </c>
      <c r="K759" t="str">
        <f>VLOOKUP(Call_Center_Data[[#This Row],[Emp ID]], Employee[], 4, FALSE)</f>
        <v>Pierce Rhodes</v>
      </c>
      <c r="L759" t="str">
        <f>VLOOKUP(Call_Center_Data[[#This Row],[Call Type ID]], Call_Type[], 2, FALSE)</f>
        <v>Billing</v>
      </c>
    </row>
    <row r="760" spans="1:12" x14ac:dyDescent="0.3">
      <c r="A760">
        <v>759</v>
      </c>
      <c r="B760">
        <v>1</v>
      </c>
      <c r="C760" s="1">
        <v>45353</v>
      </c>
      <c r="D760" s="2" t="s">
        <v>79</v>
      </c>
      <c r="E760">
        <v>1</v>
      </c>
      <c r="F760">
        <v>15</v>
      </c>
      <c r="G760">
        <v>193</v>
      </c>
      <c r="H760">
        <v>178</v>
      </c>
      <c r="I760" t="str">
        <f>VLOOKUP(Call_Center_Data[[#This Row],[Emp ID]],Employee[],2,FALSE)</f>
        <v>Gina Simons</v>
      </c>
      <c r="J760" t="str">
        <f>VLOOKUP(Call_Center_Data[[#This Row],[Emp ID]], Employee[], 3, FALSE)</f>
        <v>Spokane, WA</v>
      </c>
      <c r="K760" t="str">
        <f>VLOOKUP(Call_Center_Data[[#This Row],[Emp ID]], Employee[], 4, FALSE)</f>
        <v>John Rhodes</v>
      </c>
      <c r="L760" t="str">
        <f>VLOOKUP(Call_Center_Data[[#This Row],[Call Type ID]], Call_Type[], 2, FALSE)</f>
        <v>Billing</v>
      </c>
    </row>
    <row r="761" spans="1:12" x14ac:dyDescent="0.3">
      <c r="A761">
        <v>760</v>
      </c>
      <c r="B761">
        <v>2</v>
      </c>
      <c r="C761" s="1">
        <v>45354</v>
      </c>
      <c r="D761" s="2" t="s">
        <v>79</v>
      </c>
      <c r="E761">
        <v>1</v>
      </c>
      <c r="F761">
        <v>20</v>
      </c>
      <c r="G761">
        <v>171</v>
      </c>
      <c r="H761">
        <v>287</v>
      </c>
      <c r="I761" t="str">
        <f>VLOOKUP(Call_Center_Data[[#This Row],[Emp ID]],Employee[],2,FALSE)</f>
        <v>Gina Simons</v>
      </c>
      <c r="J761" t="str">
        <f>VLOOKUP(Call_Center_Data[[#This Row],[Emp ID]], Employee[], 3, FALSE)</f>
        <v>Spokane, WA</v>
      </c>
      <c r="K761" t="str">
        <f>VLOOKUP(Call_Center_Data[[#This Row],[Emp ID]], Employee[], 4, FALSE)</f>
        <v>John Rhodes</v>
      </c>
      <c r="L761" t="str">
        <f>VLOOKUP(Call_Center_Data[[#This Row],[Call Type ID]], Call_Type[], 2, FALSE)</f>
        <v>Sales</v>
      </c>
    </row>
    <row r="762" spans="1:12" x14ac:dyDescent="0.3">
      <c r="A762">
        <v>761</v>
      </c>
      <c r="B762">
        <v>2</v>
      </c>
      <c r="C762" s="1">
        <v>45355</v>
      </c>
      <c r="D762" s="2" t="s">
        <v>78</v>
      </c>
      <c r="E762">
        <v>1</v>
      </c>
      <c r="F762">
        <v>14</v>
      </c>
      <c r="G762">
        <v>152</v>
      </c>
      <c r="H762">
        <v>154</v>
      </c>
      <c r="I762" t="str">
        <f>VLOOKUP(Call_Center_Data[[#This Row],[Emp ID]],Employee[],2,FALSE)</f>
        <v>Jill Saab</v>
      </c>
      <c r="J762" t="str">
        <f>VLOOKUP(Call_Center_Data[[#This Row],[Emp ID]], Employee[], 3, FALSE)</f>
        <v>Spokane, WA</v>
      </c>
      <c r="K762" t="str">
        <f>VLOOKUP(Call_Center_Data[[#This Row],[Emp ID]], Employee[], 4, FALSE)</f>
        <v>Timmy Gill</v>
      </c>
      <c r="L762" t="str">
        <f>VLOOKUP(Call_Center_Data[[#This Row],[Call Type ID]], Call_Type[], 2, FALSE)</f>
        <v>Sales</v>
      </c>
    </row>
    <row r="763" spans="1:12" x14ac:dyDescent="0.3">
      <c r="A763">
        <v>762</v>
      </c>
      <c r="B763">
        <v>2</v>
      </c>
      <c r="C763" s="1">
        <v>45356</v>
      </c>
      <c r="D763" s="2" t="s">
        <v>70</v>
      </c>
      <c r="E763">
        <v>0</v>
      </c>
      <c r="F763">
        <v>26</v>
      </c>
      <c r="G763">
        <v>166</v>
      </c>
      <c r="H763">
        <v>218</v>
      </c>
      <c r="I763" t="str">
        <f>VLOOKUP(Call_Center_Data[[#This Row],[Emp ID]],Employee[],2,FALSE)</f>
        <v>Jill Pat</v>
      </c>
      <c r="J763" t="str">
        <f>VLOOKUP(Call_Center_Data[[#This Row],[Emp ID]], Employee[], 3, FALSE)</f>
        <v>Aurora, CO</v>
      </c>
      <c r="K763" t="str">
        <f>VLOOKUP(Call_Center_Data[[#This Row],[Emp ID]], Employee[], 4, FALSE)</f>
        <v>Henry Rhodes</v>
      </c>
      <c r="L763" t="str">
        <f>VLOOKUP(Call_Center_Data[[#This Row],[Call Type ID]], Call_Type[], 2, FALSE)</f>
        <v>Sales</v>
      </c>
    </row>
    <row r="764" spans="1:12" x14ac:dyDescent="0.3">
      <c r="A764">
        <v>763</v>
      </c>
      <c r="B764">
        <v>2</v>
      </c>
      <c r="C764" s="1">
        <v>45357</v>
      </c>
      <c r="D764" s="2" t="s">
        <v>78</v>
      </c>
      <c r="E764">
        <v>1</v>
      </c>
      <c r="F764">
        <v>15</v>
      </c>
      <c r="G764">
        <v>156</v>
      </c>
      <c r="H764">
        <v>128</v>
      </c>
      <c r="I764" t="str">
        <f>VLOOKUP(Call_Center_Data[[#This Row],[Emp ID]],Employee[],2,FALSE)</f>
        <v>Jill Saab</v>
      </c>
      <c r="J764" t="str">
        <f>VLOOKUP(Call_Center_Data[[#This Row],[Emp ID]], Employee[], 3, FALSE)</f>
        <v>Spokane, WA</v>
      </c>
      <c r="K764" t="str">
        <f>VLOOKUP(Call_Center_Data[[#This Row],[Emp ID]], Employee[], 4, FALSE)</f>
        <v>Timmy Gill</v>
      </c>
      <c r="L764" t="str">
        <f>VLOOKUP(Call_Center_Data[[#This Row],[Call Type ID]], Call_Type[], 2, FALSE)</f>
        <v>Sales</v>
      </c>
    </row>
    <row r="765" spans="1:12" x14ac:dyDescent="0.3">
      <c r="A765">
        <v>764</v>
      </c>
      <c r="B765">
        <v>1</v>
      </c>
      <c r="C765" s="1">
        <v>45358</v>
      </c>
      <c r="D765" s="2" t="s">
        <v>85</v>
      </c>
      <c r="E765">
        <v>0</v>
      </c>
      <c r="F765">
        <v>34</v>
      </c>
      <c r="G765">
        <v>176</v>
      </c>
      <c r="H765">
        <v>421</v>
      </c>
      <c r="I765" t="str">
        <f>VLOOKUP(Call_Center_Data[[#This Row],[Emp ID]],Employee[],2,FALSE)</f>
        <v>Tina Gilder</v>
      </c>
      <c r="J765" t="str">
        <f>VLOOKUP(Call_Center_Data[[#This Row],[Emp ID]], Employee[], 3, FALSE)</f>
        <v>Spokane, WA</v>
      </c>
      <c r="K765" t="str">
        <f>VLOOKUP(Call_Center_Data[[#This Row],[Emp ID]], Employee[], 4, FALSE)</f>
        <v>Timmy Baas</v>
      </c>
      <c r="L765" t="str">
        <f>VLOOKUP(Call_Center_Data[[#This Row],[Call Type ID]], Call_Type[], 2, FALSE)</f>
        <v>Billing</v>
      </c>
    </row>
    <row r="766" spans="1:12" x14ac:dyDescent="0.3">
      <c r="A766">
        <v>765</v>
      </c>
      <c r="B766">
        <v>3</v>
      </c>
      <c r="C766" s="1">
        <v>45359</v>
      </c>
      <c r="D766" s="2" t="s">
        <v>71</v>
      </c>
      <c r="E766">
        <v>1</v>
      </c>
      <c r="F766">
        <v>20</v>
      </c>
      <c r="G766">
        <v>168</v>
      </c>
      <c r="H766">
        <v>186</v>
      </c>
      <c r="I766" t="str">
        <f>VLOOKUP(Call_Center_Data[[#This Row],[Emp ID]],Employee[],2,FALSE)</f>
        <v>Sam Pat</v>
      </c>
      <c r="J766" t="str">
        <f>VLOOKUP(Call_Center_Data[[#This Row],[Emp ID]], Employee[], 3, FALSE)</f>
        <v>Aurora, CO</v>
      </c>
      <c r="K766" t="str">
        <f>VLOOKUP(Call_Center_Data[[#This Row],[Emp ID]], Employee[], 4, FALSE)</f>
        <v>Henry Mack</v>
      </c>
      <c r="L766" t="str">
        <f>VLOOKUP(Call_Center_Data[[#This Row],[Call Type ID]], Call_Type[], 2, FALSE)</f>
        <v>Tech Sup</v>
      </c>
    </row>
    <row r="767" spans="1:12" x14ac:dyDescent="0.3">
      <c r="A767">
        <v>766</v>
      </c>
      <c r="B767">
        <v>2</v>
      </c>
      <c r="C767" s="1">
        <v>45360</v>
      </c>
      <c r="D767" s="2" t="s">
        <v>86</v>
      </c>
      <c r="E767">
        <v>0</v>
      </c>
      <c r="F767">
        <v>30</v>
      </c>
      <c r="G767">
        <v>168</v>
      </c>
      <c r="H767">
        <v>496</v>
      </c>
      <c r="I767" t="str">
        <f>VLOOKUP(Call_Center_Data[[#This Row],[Emp ID]],Employee[],2,FALSE)</f>
        <v>Jill Gilder</v>
      </c>
      <c r="J767" t="str">
        <f>VLOOKUP(Call_Center_Data[[#This Row],[Emp ID]], Employee[], 3, FALSE)</f>
        <v>Aurora, CO</v>
      </c>
      <c r="K767" t="str">
        <f>VLOOKUP(Call_Center_Data[[#This Row],[Emp ID]], Employee[], 4, FALSE)</f>
        <v>Jenny Baas</v>
      </c>
      <c r="L767" t="str">
        <f>VLOOKUP(Call_Center_Data[[#This Row],[Call Type ID]], Call_Type[], 2, FALSE)</f>
        <v>Sales</v>
      </c>
    </row>
    <row r="768" spans="1:12" x14ac:dyDescent="0.3">
      <c r="A768">
        <v>767</v>
      </c>
      <c r="B768">
        <v>1</v>
      </c>
      <c r="C768" s="1">
        <v>45361</v>
      </c>
      <c r="D768" s="2" t="s">
        <v>84</v>
      </c>
      <c r="E768">
        <v>0</v>
      </c>
      <c r="F768">
        <v>59</v>
      </c>
      <c r="G768">
        <v>161</v>
      </c>
      <c r="H768">
        <v>329</v>
      </c>
      <c r="I768" t="str">
        <f>VLOOKUP(Call_Center_Data[[#This Row],[Emp ID]],Employee[],2,FALSE)</f>
        <v>Sam John</v>
      </c>
      <c r="J768" t="str">
        <f>VLOOKUP(Call_Center_Data[[#This Row],[Emp ID]], Employee[], 3, FALSE)</f>
        <v>Aurora, CO</v>
      </c>
      <c r="K768" t="str">
        <f>VLOOKUP(Call_Center_Data[[#This Row],[Emp ID]], Employee[], 4, FALSE)</f>
        <v>Jenny Mack</v>
      </c>
      <c r="L768" t="str">
        <f>VLOOKUP(Call_Center_Data[[#This Row],[Call Type ID]], Call_Type[], 2, FALSE)</f>
        <v>Billing</v>
      </c>
    </row>
    <row r="769" spans="1:12" x14ac:dyDescent="0.3">
      <c r="A769">
        <v>768</v>
      </c>
      <c r="B769">
        <v>3</v>
      </c>
      <c r="C769" s="1">
        <v>45362</v>
      </c>
      <c r="D769" s="2" t="s">
        <v>65</v>
      </c>
      <c r="E769">
        <v>1</v>
      </c>
      <c r="F769">
        <v>29</v>
      </c>
      <c r="G769">
        <v>151</v>
      </c>
      <c r="H769">
        <v>187</v>
      </c>
      <c r="I769" t="str">
        <f>VLOOKUP(Call_Center_Data[[#This Row],[Emp ID]],Employee[],2,FALSE)</f>
        <v>Ultor John</v>
      </c>
      <c r="J769" t="str">
        <f>VLOOKUP(Call_Center_Data[[#This Row],[Emp ID]], Employee[], 3, FALSE)</f>
        <v>Spokane, WA</v>
      </c>
      <c r="K769" t="str">
        <f>VLOOKUP(Call_Center_Data[[#This Row],[Emp ID]], Employee[], 4, FALSE)</f>
        <v>John Mack</v>
      </c>
      <c r="L769" t="str">
        <f>VLOOKUP(Call_Center_Data[[#This Row],[Call Type ID]], Call_Type[], 2, FALSE)</f>
        <v>Tech Sup</v>
      </c>
    </row>
    <row r="770" spans="1:12" x14ac:dyDescent="0.3">
      <c r="A770">
        <v>769</v>
      </c>
      <c r="B770">
        <v>2</v>
      </c>
      <c r="C770" s="1">
        <v>45363</v>
      </c>
      <c r="D770" s="2" t="s">
        <v>85</v>
      </c>
      <c r="E770">
        <v>1</v>
      </c>
      <c r="F770">
        <v>43</v>
      </c>
      <c r="G770">
        <v>172</v>
      </c>
      <c r="H770">
        <v>306</v>
      </c>
      <c r="I770" t="str">
        <f>VLOOKUP(Call_Center_Data[[#This Row],[Emp ID]],Employee[],2,FALSE)</f>
        <v>Tina Gilder</v>
      </c>
      <c r="J770" t="str">
        <f>VLOOKUP(Call_Center_Data[[#This Row],[Emp ID]], Employee[], 3, FALSE)</f>
        <v>Spokane, WA</v>
      </c>
      <c r="K770" t="str">
        <f>VLOOKUP(Call_Center_Data[[#This Row],[Emp ID]], Employee[], 4, FALSE)</f>
        <v>Timmy Baas</v>
      </c>
      <c r="L770" t="str">
        <f>VLOOKUP(Call_Center_Data[[#This Row],[Call Type ID]], Call_Type[], 2, FALSE)</f>
        <v>Sales</v>
      </c>
    </row>
    <row r="771" spans="1:12" x14ac:dyDescent="0.3">
      <c r="A771">
        <v>770</v>
      </c>
      <c r="B771">
        <v>1</v>
      </c>
      <c r="C771" s="1">
        <v>45364</v>
      </c>
      <c r="D771" s="2" t="s">
        <v>65</v>
      </c>
      <c r="E771">
        <v>1</v>
      </c>
      <c r="F771">
        <v>22</v>
      </c>
      <c r="G771">
        <v>168</v>
      </c>
      <c r="H771">
        <v>226</v>
      </c>
      <c r="I771" t="str">
        <f>VLOOKUP(Call_Center_Data[[#This Row],[Emp ID]],Employee[],2,FALSE)</f>
        <v>Ultor John</v>
      </c>
      <c r="J771" t="str">
        <f>VLOOKUP(Call_Center_Data[[#This Row],[Emp ID]], Employee[], 3, FALSE)</f>
        <v>Spokane, WA</v>
      </c>
      <c r="K771" t="str">
        <f>VLOOKUP(Call_Center_Data[[#This Row],[Emp ID]], Employee[], 4, FALSE)</f>
        <v>John Mack</v>
      </c>
      <c r="L771" t="str">
        <f>VLOOKUP(Call_Center_Data[[#This Row],[Call Type ID]], Call_Type[], 2, FALSE)</f>
        <v>Billing</v>
      </c>
    </row>
    <row r="772" spans="1:12" x14ac:dyDescent="0.3">
      <c r="A772">
        <v>771</v>
      </c>
      <c r="B772">
        <v>3</v>
      </c>
      <c r="C772" s="1">
        <v>45365</v>
      </c>
      <c r="D772" s="2" t="s">
        <v>86</v>
      </c>
      <c r="E772">
        <v>1</v>
      </c>
      <c r="F772">
        <v>37</v>
      </c>
      <c r="G772">
        <v>164</v>
      </c>
      <c r="H772">
        <v>311</v>
      </c>
      <c r="I772" t="str">
        <f>VLOOKUP(Call_Center_Data[[#This Row],[Emp ID]],Employee[],2,FALSE)</f>
        <v>Jill Gilder</v>
      </c>
      <c r="J772" t="str">
        <f>VLOOKUP(Call_Center_Data[[#This Row],[Emp ID]], Employee[], 3, FALSE)</f>
        <v>Aurora, CO</v>
      </c>
      <c r="K772" t="str">
        <f>VLOOKUP(Call_Center_Data[[#This Row],[Emp ID]], Employee[], 4, FALSE)</f>
        <v>Jenny Baas</v>
      </c>
      <c r="L772" t="str">
        <f>VLOOKUP(Call_Center_Data[[#This Row],[Call Type ID]], Call_Type[], 2, FALSE)</f>
        <v>Tech Sup</v>
      </c>
    </row>
    <row r="773" spans="1:12" x14ac:dyDescent="0.3">
      <c r="A773">
        <v>772</v>
      </c>
      <c r="B773">
        <v>3</v>
      </c>
      <c r="C773" s="1">
        <v>45366</v>
      </c>
      <c r="D773" s="2" t="s">
        <v>77</v>
      </c>
      <c r="E773">
        <v>1</v>
      </c>
      <c r="F773">
        <v>47</v>
      </c>
      <c r="G773">
        <v>180</v>
      </c>
      <c r="H773">
        <v>521</v>
      </c>
      <c r="I773" t="str">
        <f>VLOOKUP(Call_Center_Data[[#This Row],[Emp ID]],Employee[],2,FALSE)</f>
        <v>Sam Saab</v>
      </c>
      <c r="J773" t="str">
        <f>VLOOKUP(Call_Center_Data[[#This Row],[Emp ID]], Employee[], 3, FALSE)</f>
        <v>Aurora, CO</v>
      </c>
      <c r="K773" t="str">
        <f>VLOOKUP(Call_Center_Data[[#This Row],[Emp ID]], Employee[], 4, FALSE)</f>
        <v>Timmy Mack</v>
      </c>
      <c r="L773" t="str">
        <f>VLOOKUP(Call_Center_Data[[#This Row],[Call Type ID]], Call_Type[], 2, FALSE)</f>
        <v>Tech Sup</v>
      </c>
    </row>
    <row r="774" spans="1:12" x14ac:dyDescent="0.3">
      <c r="A774">
        <v>773</v>
      </c>
      <c r="B774">
        <v>1</v>
      </c>
      <c r="C774" s="1">
        <v>45367</v>
      </c>
      <c r="D774" s="2" t="s">
        <v>78</v>
      </c>
      <c r="E774">
        <v>0</v>
      </c>
      <c r="F774">
        <v>34</v>
      </c>
      <c r="G774">
        <v>186</v>
      </c>
      <c r="H774">
        <v>248</v>
      </c>
      <c r="I774" t="str">
        <f>VLOOKUP(Call_Center_Data[[#This Row],[Emp ID]],Employee[],2,FALSE)</f>
        <v>Jill Saab</v>
      </c>
      <c r="J774" t="str">
        <f>VLOOKUP(Call_Center_Data[[#This Row],[Emp ID]], Employee[], 3, FALSE)</f>
        <v>Spokane, WA</v>
      </c>
      <c r="K774" t="str">
        <f>VLOOKUP(Call_Center_Data[[#This Row],[Emp ID]], Employee[], 4, FALSE)</f>
        <v>Timmy Gill</v>
      </c>
      <c r="L774" t="str">
        <f>VLOOKUP(Call_Center_Data[[#This Row],[Call Type ID]], Call_Type[], 2, FALSE)</f>
        <v>Billing</v>
      </c>
    </row>
    <row r="775" spans="1:12" x14ac:dyDescent="0.3">
      <c r="A775">
        <v>774</v>
      </c>
      <c r="B775">
        <v>1</v>
      </c>
      <c r="C775" s="1">
        <v>45368</v>
      </c>
      <c r="D775" s="2" t="s">
        <v>64</v>
      </c>
      <c r="E775">
        <v>1</v>
      </c>
      <c r="F775">
        <v>39</v>
      </c>
      <c r="G775">
        <v>188</v>
      </c>
      <c r="H775">
        <v>215</v>
      </c>
      <c r="I775" t="str">
        <f>VLOOKUP(Call_Center_Data[[#This Row],[Emp ID]],Employee[],2,FALSE)</f>
        <v>Jill Simons</v>
      </c>
      <c r="J775" t="str">
        <f>VLOOKUP(Call_Center_Data[[#This Row],[Emp ID]], Employee[], 3, FALSE)</f>
        <v>Spokane, WA</v>
      </c>
      <c r="K775" t="str">
        <f>VLOOKUP(Call_Center_Data[[#This Row],[Emp ID]], Employee[], 4, FALSE)</f>
        <v>Jenny Rhodes</v>
      </c>
      <c r="L775" t="str">
        <f>VLOOKUP(Call_Center_Data[[#This Row],[Call Type ID]], Call_Type[], 2, FALSE)</f>
        <v>Billing</v>
      </c>
    </row>
    <row r="776" spans="1:12" x14ac:dyDescent="0.3">
      <c r="A776">
        <v>775</v>
      </c>
      <c r="B776">
        <v>2</v>
      </c>
      <c r="C776" s="1">
        <v>45369</v>
      </c>
      <c r="D776" s="2" t="s">
        <v>73</v>
      </c>
      <c r="E776">
        <v>1</v>
      </c>
      <c r="F776">
        <v>46</v>
      </c>
      <c r="G776">
        <v>203</v>
      </c>
      <c r="H776">
        <v>308</v>
      </c>
      <c r="I776" t="str">
        <f>VLOOKUP(Call_Center_Data[[#This Row],[Emp ID]],Employee[],2,FALSE)</f>
        <v>Jill John</v>
      </c>
      <c r="J776" t="str">
        <f>VLOOKUP(Call_Center_Data[[#This Row],[Emp ID]], Employee[], 3, FALSE)</f>
        <v>Spokane, WA</v>
      </c>
      <c r="K776" t="str">
        <f>VLOOKUP(Call_Center_Data[[#This Row],[Emp ID]], Employee[], 4, FALSE)</f>
        <v>John Gill</v>
      </c>
      <c r="L776" t="str">
        <f>VLOOKUP(Call_Center_Data[[#This Row],[Call Type ID]], Call_Type[], 2, FALSE)</f>
        <v>Sales</v>
      </c>
    </row>
    <row r="777" spans="1:12" x14ac:dyDescent="0.3">
      <c r="A777">
        <v>776</v>
      </c>
      <c r="B777">
        <v>1</v>
      </c>
      <c r="C777" s="1">
        <v>45370</v>
      </c>
      <c r="D777" s="2" t="s">
        <v>70</v>
      </c>
      <c r="E777">
        <v>0</v>
      </c>
      <c r="F777">
        <v>40</v>
      </c>
      <c r="G777">
        <v>210</v>
      </c>
      <c r="H777">
        <v>249</v>
      </c>
      <c r="I777" t="str">
        <f>VLOOKUP(Call_Center_Data[[#This Row],[Emp ID]],Employee[],2,FALSE)</f>
        <v>Jill Pat</v>
      </c>
      <c r="J777" t="str">
        <f>VLOOKUP(Call_Center_Data[[#This Row],[Emp ID]], Employee[], 3, FALSE)</f>
        <v>Aurora, CO</v>
      </c>
      <c r="K777" t="str">
        <f>VLOOKUP(Call_Center_Data[[#This Row],[Emp ID]], Employee[], 4, FALSE)</f>
        <v>Henry Rhodes</v>
      </c>
      <c r="L777" t="str">
        <f>VLOOKUP(Call_Center_Data[[#This Row],[Call Type ID]], Call_Type[], 2, FALSE)</f>
        <v>Billing</v>
      </c>
    </row>
    <row r="778" spans="1:12" x14ac:dyDescent="0.3">
      <c r="A778">
        <v>777</v>
      </c>
      <c r="B778">
        <v>2</v>
      </c>
      <c r="C778" s="1">
        <v>45371</v>
      </c>
      <c r="D778" s="2" t="s">
        <v>68</v>
      </c>
      <c r="E778">
        <v>1</v>
      </c>
      <c r="F778">
        <v>30</v>
      </c>
      <c r="G778">
        <v>194</v>
      </c>
      <c r="H778">
        <v>435</v>
      </c>
      <c r="I778" t="str">
        <f>VLOOKUP(Call_Center_Data[[#This Row],[Emp ID]],Employee[],2,FALSE)</f>
        <v>Tina Saab</v>
      </c>
      <c r="J778" t="str">
        <f>VLOOKUP(Call_Center_Data[[#This Row],[Emp ID]], Employee[], 3, FALSE)</f>
        <v>Spokane, WA</v>
      </c>
      <c r="K778" t="str">
        <f>VLOOKUP(Call_Center_Data[[#This Row],[Emp ID]], Employee[], 4, FALSE)</f>
        <v>Henry Baas</v>
      </c>
      <c r="L778" t="str">
        <f>VLOOKUP(Call_Center_Data[[#This Row],[Call Type ID]], Call_Type[], 2, FALSE)</f>
        <v>Sales</v>
      </c>
    </row>
    <row r="779" spans="1:12" x14ac:dyDescent="0.3">
      <c r="A779">
        <v>778</v>
      </c>
      <c r="B779">
        <v>2</v>
      </c>
      <c r="C779" s="1">
        <v>45372</v>
      </c>
      <c r="D779" s="2" t="s">
        <v>69</v>
      </c>
      <c r="E779">
        <v>1</v>
      </c>
      <c r="F779">
        <v>30</v>
      </c>
      <c r="G779">
        <v>191</v>
      </c>
      <c r="H779">
        <v>352</v>
      </c>
      <c r="I779" t="str">
        <f>VLOOKUP(Call_Center_Data[[#This Row],[Emp ID]],Employee[],2,FALSE)</f>
        <v>Sam Gilder</v>
      </c>
      <c r="J779" t="str">
        <f>VLOOKUP(Call_Center_Data[[#This Row],[Emp ID]], Employee[], 3, FALSE)</f>
        <v>Jacksonville, WA</v>
      </c>
      <c r="K779" t="str">
        <f>VLOOKUP(Call_Center_Data[[#This Row],[Emp ID]], Employee[], 4, FALSE)</f>
        <v>Timmy Hall</v>
      </c>
      <c r="L779" t="str">
        <f>VLOOKUP(Call_Center_Data[[#This Row],[Call Type ID]], Call_Type[], 2, FALSE)</f>
        <v>Sales</v>
      </c>
    </row>
    <row r="780" spans="1:12" x14ac:dyDescent="0.3">
      <c r="A780">
        <v>779</v>
      </c>
      <c r="B780">
        <v>2</v>
      </c>
      <c r="C780" s="1">
        <v>45373</v>
      </c>
      <c r="D780" s="2" t="s">
        <v>71</v>
      </c>
      <c r="E780">
        <v>0</v>
      </c>
      <c r="F780">
        <v>43</v>
      </c>
      <c r="G780">
        <v>207</v>
      </c>
      <c r="H780">
        <v>932</v>
      </c>
      <c r="I780" t="str">
        <f>VLOOKUP(Call_Center_Data[[#This Row],[Emp ID]],Employee[],2,FALSE)</f>
        <v>Sam Pat</v>
      </c>
      <c r="J780" t="str">
        <f>VLOOKUP(Call_Center_Data[[#This Row],[Emp ID]], Employee[], 3, FALSE)</f>
        <v>Aurora, CO</v>
      </c>
      <c r="K780" t="str">
        <f>VLOOKUP(Call_Center_Data[[#This Row],[Emp ID]], Employee[], 4, FALSE)</f>
        <v>Henry Mack</v>
      </c>
      <c r="L780" t="str">
        <f>VLOOKUP(Call_Center_Data[[#This Row],[Call Type ID]], Call_Type[], 2, FALSE)</f>
        <v>Sales</v>
      </c>
    </row>
    <row r="781" spans="1:12" x14ac:dyDescent="0.3">
      <c r="A781">
        <v>780</v>
      </c>
      <c r="B781">
        <v>1</v>
      </c>
      <c r="C781" s="1">
        <v>45374</v>
      </c>
      <c r="D781" s="2" t="s">
        <v>82</v>
      </c>
      <c r="E781">
        <v>1</v>
      </c>
      <c r="F781">
        <v>37</v>
      </c>
      <c r="G781">
        <v>182</v>
      </c>
      <c r="H781">
        <v>317</v>
      </c>
      <c r="I781" t="str">
        <f>VLOOKUP(Call_Center_Data[[#This Row],[Emp ID]],Employee[],2,FALSE)</f>
        <v>Ultor Gilder</v>
      </c>
      <c r="J781" t="str">
        <f>VLOOKUP(Call_Center_Data[[#This Row],[Emp ID]], Employee[], 3, FALSE)</f>
        <v>Aurora, CO</v>
      </c>
      <c r="K781" t="str">
        <f>VLOOKUP(Call_Center_Data[[#This Row],[Emp ID]], Employee[], 4, FALSE)</f>
        <v>Pierce Mack</v>
      </c>
      <c r="L781" t="str">
        <f>VLOOKUP(Call_Center_Data[[#This Row],[Call Type ID]], Call_Type[], 2, FALSE)</f>
        <v>Billing</v>
      </c>
    </row>
    <row r="782" spans="1:12" x14ac:dyDescent="0.3">
      <c r="A782">
        <v>781</v>
      </c>
      <c r="B782">
        <v>3</v>
      </c>
      <c r="C782" s="1">
        <v>45375</v>
      </c>
      <c r="D782" s="2" t="s">
        <v>66</v>
      </c>
      <c r="E782">
        <v>1</v>
      </c>
      <c r="F782">
        <v>35</v>
      </c>
      <c r="G782">
        <v>183</v>
      </c>
      <c r="H782">
        <v>672</v>
      </c>
      <c r="I782" t="str">
        <f>VLOOKUP(Call_Center_Data[[#This Row],[Emp ID]],Employee[],2,FALSE)</f>
        <v>Tina John</v>
      </c>
      <c r="J782" t="str">
        <f>VLOOKUP(Call_Center_Data[[#This Row],[Emp ID]], Employee[], 3, FALSE)</f>
        <v>Aurora, CO</v>
      </c>
      <c r="K782" t="str">
        <f>VLOOKUP(Call_Center_Data[[#This Row],[Emp ID]], Employee[], 4, FALSE)</f>
        <v>Timmy Rhodes</v>
      </c>
      <c r="L782" t="str">
        <f>VLOOKUP(Call_Center_Data[[#This Row],[Call Type ID]], Call_Type[], 2, FALSE)</f>
        <v>Tech Sup</v>
      </c>
    </row>
    <row r="783" spans="1:12" x14ac:dyDescent="0.3">
      <c r="A783">
        <v>782</v>
      </c>
      <c r="B783">
        <v>3</v>
      </c>
      <c r="C783" s="1">
        <v>45376</v>
      </c>
      <c r="D783" s="2" t="s">
        <v>85</v>
      </c>
      <c r="E783">
        <v>0</v>
      </c>
      <c r="F783">
        <v>14</v>
      </c>
      <c r="G783">
        <v>178</v>
      </c>
      <c r="H783">
        <v>124</v>
      </c>
      <c r="I783" t="str">
        <f>VLOOKUP(Call_Center_Data[[#This Row],[Emp ID]],Employee[],2,FALSE)</f>
        <v>Tina Gilder</v>
      </c>
      <c r="J783" t="str">
        <f>VLOOKUP(Call_Center_Data[[#This Row],[Emp ID]], Employee[], 3, FALSE)</f>
        <v>Spokane, WA</v>
      </c>
      <c r="K783" t="str">
        <f>VLOOKUP(Call_Center_Data[[#This Row],[Emp ID]], Employee[], 4, FALSE)</f>
        <v>Timmy Baas</v>
      </c>
      <c r="L783" t="str">
        <f>VLOOKUP(Call_Center_Data[[#This Row],[Call Type ID]], Call_Type[], 2, FALSE)</f>
        <v>Tech Sup</v>
      </c>
    </row>
    <row r="784" spans="1:12" x14ac:dyDescent="0.3">
      <c r="A784">
        <v>783</v>
      </c>
      <c r="B784">
        <v>1</v>
      </c>
      <c r="C784" s="1">
        <v>45377</v>
      </c>
      <c r="D784" s="2" t="s">
        <v>78</v>
      </c>
      <c r="E784">
        <v>1</v>
      </c>
      <c r="F784">
        <v>37</v>
      </c>
      <c r="G784">
        <v>193</v>
      </c>
      <c r="H784">
        <v>339</v>
      </c>
      <c r="I784" t="str">
        <f>VLOOKUP(Call_Center_Data[[#This Row],[Emp ID]],Employee[],2,FALSE)</f>
        <v>Jill Saab</v>
      </c>
      <c r="J784" t="str">
        <f>VLOOKUP(Call_Center_Data[[#This Row],[Emp ID]], Employee[], 3, FALSE)</f>
        <v>Spokane, WA</v>
      </c>
      <c r="K784" t="str">
        <f>VLOOKUP(Call_Center_Data[[#This Row],[Emp ID]], Employee[], 4, FALSE)</f>
        <v>Timmy Gill</v>
      </c>
      <c r="L784" t="str">
        <f>VLOOKUP(Call_Center_Data[[#This Row],[Call Type ID]], Call_Type[], 2, FALSE)</f>
        <v>Billing</v>
      </c>
    </row>
    <row r="785" spans="1:12" x14ac:dyDescent="0.3">
      <c r="A785">
        <v>784</v>
      </c>
      <c r="B785">
        <v>2</v>
      </c>
      <c r="C785" s="1">
        <v>45378</v>
      </c>
      <c r="D785" s="2" t="s">
        <v>83</v>
      </c>
      <c r="E785">
        <v>1</v>
      </c>
      <c r="F785">
        <v>52</v>
      </c>
      <c r="G785">
        <v>181</v>
      </c>
      <c r="H785">
        <v>573</v>
      </c>
      <c r="I785" t="str">
        <f>VLOOKUP(Call_Center_Data[[#This Row],[Emp ID]],Employee[],2,FALSE)</f>
        <v>Ultor Simons</v>
      </c>
      <c r="J785" t="str">
        <f>VLOOKUP(Call_Center_Data[[#This Row],[Emp ID]], Employee[], 3, FALSE)</f>
        <v>Jacksonville, WA</v>
      </c>
      <c r="K785" t="str">
        <f>VLOOKUP(Call_Center_Data[[#This Row],[Emp ID]], Employee[], 4, FALSE)</f>
        <v>Pierce Hall</v>
      </c>
      <c r="L785" t="str">
        <f>VLOOKUP(Call_Center_Data[[#This Row],[Call Type ID]], Call_Type[], 2, FALSE)</f>
        <v>Sales</v>
      </c>
    </row>
    <row r="786" spans="1:12" x14ac:dyDescent="0.3">
      <c r="A786">
        <v>785</v>
      </c>
      <c r="B786">
        <v>2</v>
      </c>
      <c r="C786" s="1">
        <v>45379</v>
      </c>
      <c r="D786" s="2" t="s">
        <v>82</v>
      </c>
      <c r="E786">
        <v>1</v>
      </c>
      <c r="F786">
        <v>45</v>
      </c>
      <c r="G786">
        <v>177</v>
      </c>
      <c r="H786">
        <v>347</v>
      </c>
      <c r="I786" t="str">
        <f>VLOOKUP(Call_Center_Data[[#This Row],[Emp ID]],Employee[],2,FALSE)</f>
        <v>Ultor Gilder</v>
      </c>
      <c r="J786" t="str">
        <f>VLOOKUP(Call_Center_Data[[#This Row],[Emp ID]], Employee[], 3, FALSE)</f>
        <v>Aurora, CO</v>
      </c>
      <c r="K786" t="str">
        <f>VLOOKUP(Call_Center_Data[[#This Row],[Emp ID]], Employee[], 4, FALSE)</f>
        <v>Pierce Mack</v>
      </c>
      <c r="L786" t="str">
        <f>VLOOKUP(Call_Center_Data[[#This Row],[Call Type ID]], Call_Type[], 2, FALSE)</f>
        <v>Sales</v>
      </c>
    </row>
    <row r="787" spans="1:12" x14ac:dyDescent="0.3">
      <c r="A787">
        <v>786</v>
      </c>
      <c r="B787">
        <v>2</v>
      </c>
      <c r="C787" s="1">
        <v>45380</v>
      </c>
      <c r="D787" s="2" t="s">
        <v>66</v>
      </c>
      <c r="E787">
        <v>0</v>
      </c>
      <c r="F787">
        <v>35</v>
      </c>
      <c r="G787">
        <v>189</v>
      </c>
      <c r="H787">
        <v>341</v>
      </c>
      <c r="I787" t="str">
        <f>VLOOKUP(Call_Center_Data[[#This Row],[Emp ID]],Employee[],2,FALSE)</f>
        <v>Tina John</v>
      </c>
      <c r="J787" t="str">
        <f>VLOOKUP(Call_Center_Data[[#This Row],[Emp ID]], Employee[], 3, FALSE)</f>
        <v>Aurora, CO</v>
      </c>
      <c r="K787" t="str">
        <f>VLOOKUP(Call_Center_Data[[#This Row],[Emp ID]], Employee[], 4, FALSE)</f>
        <v>Timmy Rhodes</v>
      </c>
      <c r="L787" t="str">
        <f>VLOOKUP(Call_Center_Data[[#This Row],[Call Type ID]], Call_Type[], 2, FALSE)</f>
        <v>Sales</v>
      </c>
    </row>
    <row r="788" spans="1:12" x14ac:dyDescent="0.3">
      <c r="A788">
        <v>787</v>
      </c>
      <c r="B788">
        <v>1</v>
      </c>
      <c r="C788" s="1">
        <v>45381</v>
      </c>
      <c r="D788" s="2" t="s">
        <v>82</v>
      </c>
      <c r="E788">
        <v>0</v>
      </c>
      <c r="F788">
        <v>71</v>
      </c>
      <c r="G788">
        <v>204</v>
      </c>
      <c r="H788">
        <v>1551</v>
      </c>
      <c r="I788" t="str">
        <f>VLOOKUP(Call_Center_Data[[#This Row],[Emp ID]],Employee[],2,FALSE)</f>
        <v>Ultor Gilder</v>
      </c>
      <c r="J788" t="str">
        <f>VLOOKUP(Call_Center_Data[[#This Row],[Emp ID]], Employee[], 3, FALSE)</f>
        <v>Aurora, CO</v>
      </c>
      <c r="K788" t="str">
        <f>VLOOKUP(Call_Center_Data[[#This Row],[Emp ID]], Employee[], 4, FALSE)</f>
        <v>Pierce Mack</v>
      </c>
      <c r="L788" t="str">
        <f>VLOOKUP(Call_Center_Data[[#This Row],[Call Type ID]], Call_Type[], 2, FALSE)</f>
        <v>Billing</v>
      </c>
    </row>
    <row r="789" spans="1:12" x14ac:dyDescent="0.3">
      <c r="A789">
        <v>788</v>
      </c>
      <c r="B789">
        <v>2</v>
      </c>
      <c r="C789" s="1">
        <v>45382</v>
      </c>
      <c r="D789" s="2" t="s">
        <v>68</v>
      </c>
      <c r="E789">
        <v>0</v>
      </c>
      <c r="F789">
        <v>49</v>
      </c>
      <c r="G789">
        <v>194</v>
      </c>
      <c r="H789">
        <v>536</v>
      </c>
      <c r="I789" t="str">
        <f>VLOOKUP(Call_Center_Data[[#This Row],[Emp ID]],Employee[],2,FALSE)</f>
        <v>Tina Saab</v>
      </c>
      <c r="J789" t="str">
        <f>VLOOKUP(Call_Center_Data[[#This Row],[Emp ID]], Employee[], 3, FALSE)</f>
        <v>Spokane, WA</v>
      </c>
      <c r="K789" t="str">
        <f>VLOOKUP(Call_Center_Data[[#This Row],[Emp ID]], Employee[], 4, FALSE)</f>
        <v>Henry Baas</v>
      </c>
      <c r="L789" t="str">
        <f>VLOOKUP(Call_Center_Data[[#This Row],[Call Type ID]], Call_Type[], 2, FALSE)</f>
        <v>Sales</v>
      </c>
    </row>
    <row r="790" spans="1:12" x14ac:dyDescent="0.3">
      <c r="A790">
        <v>789</v>
      </c>
      <c r="B790">
        <v>2</v>
      </c>
      <c r="C790" s="1">
        <v>45383</v>
      </c>
      <c r="D790" s="2" t="s">
        <v>88</v>
      </c>
      <c r="E790">
        <v>0</v>
      </c>
      <c r="F790">
        <v>32</v>
      </c>
      <c r="G790">
        <v>199</v>
      </c>
      <c r="H790">
        <v>180</v>
      </c>
      <c r="I790" t="str">
        <f>VLOOKUP(Call_Center_Data[[#This Row],[Emp ID]],Employee[],2,FALSE)</f>
        <v>Gina Gilder</v>
      </c>
      <c r="J790" t="str">
        <f>VLOOKUP(Call_Center_Data[[#This Row],[Emp ID]], Employee[], 3, FALSE)</f>
        <v>Jacksonville, WA</v>
      </c>
      <c r="K790" t="str">
        <f>VLOOKUP(Call_Center_Data[[#This Row],[Emp ID]], Employee[], 4, FALSE)</f>
        <v>Pierce Rhodes</v>
      </c>
      <c r="L790" t="str">
        <f>VLOOKUP(Call_Center_Data[[#This Row],[Call Type ID]], Call_Type[], 2, FALSE)</f>
        <v>Sales</v>
      </c>
    </row>
    <row r="791" spans="1:12" x14ac:dyDescent="0.3">
      <c r="A791">
        <v>790</v>
      </c>
      <c r="B791">
        <v>2</v>
      </c>
      <c r="C791" s="1">
        <v>45384</v>
      </c>
      <c r="D791" s="2" t="s">
        <v>64</v>
      </c>
      <c r="E791">
        <v>0</v>
      </c>
      <c r="F791">
        <v>48</v>
      </c>
      <c r="G791">
        <v>96</v>
      </c>
      <c r="H791">
        <v>645</v>
      </c>
      <c r="I791" t="str">
        <f>VLOOKUP(Call_Center_Data[[#This Row],[Emp ID]],Employee[],2,FALSE)</f>
        <v>Jill Simons</v>
      </c>
      <c r="J791" t="str">
        <f>VLOOKUP(Call_Center_Data[[#This Row],[Emp ID]], Employee[], 3, FALSE)</f>
        <v>Spokane, WA</v>
      </c>
      <c r="K791" t="str">
        <f>VLOOKUP(Call_Center_Data[[#This Row],[Emp ID]], Employee[], 4, FALSE)</f>
        <v>Jenny Rhodes</v>
      </c>
      <c r="L791" t="str">
        <f>VLOOKUP(Call_Center_Data[[#This Row],[Call Type ID]], Call_Type[], 2, FALSE)</f>
        <v>Sales</v>
      </c>
    </row>
    <row r="792" spans="1:12" x14ac:dyDescent="0.3">
      <c r="A792">
        <v>791</v>
      </c>
      <c r="B792">
        <v>1</v>
      </c>
      <c r="C792" s="1">
        <v>45385</v>
      </c>
      <c r="D792" s="2" t="s">
        <v>72</v>
      </c>
      <c r="E792">
        <v>1</v>
      </c>
      <c r="F792">
        <v>37</v>
      </c>
      <c r="G792">
        <v>125</v>
      </c>
      <c r="H792">
        <v>655</v>
      </c>
      <c r="I792" t="str">
        <f>VLOOKUP(Call_Center_Data[[#This Row],[Emp ID]],Employee[],2,FALSE)</f>
        <v>Ultor Pat</v>
      </c>
      <c r="J792" t="str">
        <f>VLOOKUP(Call_Center_Data[[#This Row],[Emp ID]], Employee[], 3, FALSE)</f>
        <v>Jacksonville, WA</v>
      </c>
      <c r="K792" t="str">
        <f>VLOOKUP(Call_Center_Data[[#This Row],[Emp ID]], Employee[], 4, FALSE)</f>
        <v>Jenny Hall</v>
      </c>
      <c r="L792" t="str">
        <f>VLOOKUP(Call_Center_Data[[#This Row],[Call Type ID]], Call_Type[], 2, FALSE)</f>
        <v>Billing</v>
      </c>
    </row>
    <row r="793" spans="1:12" x14ac:dyDescent="0.3">
      <c r="A793">
        <v>792</v>
      </c>
      <c r="B793">
        <v>2</v>
      </c>
      <c r="C793" s="1">
        <v>45386</v>
      </c>
      <c r="D793" s="2" t="s">
        <v>79</v>
      </c>
      <c r="E793">
        <v>1</v>
      </c>
      <c r="F793">
        <v>54</v>
      </c>
      <c r="G793">
        <v>135</v>
      </c>
      <c r="H793">
        <v>1019</v>
      </c>
      <c r="I793" t="str">
        <f>VLOOKUP(Call_Center_Data[[#This Row],[Emp ID]],Employee[],2,FALSE)</f>
        <v>Gina Simons</v>
      </c>
      <c r="J793" t="str">
        <f>VLOOKUP(Call_Center_Data[[#This Row],[Emp ID]], Employee[], 3, FALSE)</f>
        <v>Spokane, WA</v>
      </c>
      <c r="K793" t="str">
        <f>VLOOKUP(Call_Center_Data[[#This Row],[Emp ID]], Employee[], 4, FALSE)</f>
        <v>John Rhodes</v>
      </c>
      <c r="L793" t="str">
        <f>VLOOKUP(Call_Center_Data[[#This Row],[Call Type ID]], Call_Type[], 2, FALSE)</f>
        <v>Sales</v>
      </c>
    </row>
    <row r="794" spans="1:12" x14ac:dyDescent="0.3">
      <c r="A794">
        <v>793</v>
      </c>
      <c r="B794">
        <v>1</v>
      </c>
      <c r="C794" s="1">
        <v>45387</v>
      </c>
      <c r="D794" s="2" t="s">
        <v>82</v>
      </c>
      <c r="E794">
        <v>1</v>
      </c>
      <c r="F794">
        <v>48</v>
      </c>
      <c r="G794">
        <v>209</v>
      </c>
      <c r="H794">
        <v>621</v>
      </c>
      <c r="I794" t="str">
        <f>VLOOKUP(Call_Center_Data[[#This Row],[Emp ID]],Employee[],2,FALSE)</f>
        <v>Ultor Gilder</v>
      </c>
      <c r="J794" t="str">
        <f>VLOOKUP(Call_Center_Data[[#This Row],[Emp ID]], Employee[], 3, FALSE)</f>
        <v>Aurora, CO</v>
      </c>
      <c r="K794" t="str">
        <f>VLOOKUP(Call_Center_Data[[#This Row],[Emp ID]], Employee[], 4, FALSE)</f>
        <v>Pierce Mack</v>
      </c>
      <c r="L794" t="str">
        <f>VLOOKUP(Call_Center_Data[[#This Row],[Call Type ID]], Call_Type[], 2, FALSE)</f>
        <v>Billing</v>
      </c>
    </row>
    <row r="795" spans="1:12" x14ac:dyDescent="0.3">
      <c r="A795">
        <v>794</v>
      </c>
      <c r="B795">
        <v>1</v>
      </c>
      <c r="C795" s="1">
        <v>45388</v>
      </c>
      <c r="D795" s="2" t="s">
        <v>75</v>
      </c>
      <c r="E795">
        <v>1</v>
      </c>
      <c r="F795">
        <v>73</v>
      </c>
      <c r="G795">
        <v>215</v>
      </c>
      <c r="H795">
        <v>552</v>
      </c>
      <c r="I795" t="str">
        <f>VLOOKUP(Call_Center_Data[[#This Row],[Emp ID]],Employee[],2,FALSE)</f>
        <v>Gina Pat</v>
      </c>
      <c r="J795" t="str">
        <f>VLOOKUP(Call_Center_Data[[#This Row],[Emp ID]], Employee[], 3, FALSE)</f>
        <v>Spokane, WA</v>
      </c>
      <c r="K795" t="str">
        <f>VLOOKUP(Call_Center_Data[[#This Row],[Emp ID]], Employee[], 4, FALSE)</f>
        <v>Henry Hall</v>
      </c>
      <c r="L795" t="str">
        <f>VLOOKUP(Call_Center_Data[[#This Row],[Call Type ID]], Call_Type[], 2, FALSE)</f>
        <v>Billing</v>
      </c>
    </row>
    <row r="796" spans="1:12" x14ac:dyDescent="0.3">
      <c r="A796">
        <v>795</v>
      </c>
      <c r="B796">
        <v>1</v>
      </c>
      <c r="C796" s="1">
        <v>45389</v>
      </c>
      <c r="D796" s="2" t="s">
        <v>65</v>
      </c>
      <c r="E796">
        <v>1</v>
      </c>
      <c r="F796">
        <v>83</v>
      </c>
      <c r="G796">
        <v>214</v>
      </c>
      <c r="H796">
        <v>538</v>
      </c>
      <c r="I796" t="str">
        <f>VLOOKUP(Call_Center_Data[[#This Row],[Emp ID]],Employee[],2,FALSE)</f>
        <v>Ultor John</v>
      </c>
      <c r="J796" t="str">
        <f>VLOOKUP(Call_Center_Data[[#This Row],[Emp ID]], Employee[], 3, FALSE)</f>
        <v>Spokane, WA</v>
      </c>
      <c r="K796" t="str">
        <f>VLOOKUP(Call_Center_Data[[#This Row],[Emp ID]], Employee[], 4, FALSE)</f>
        <v>John Mack</v>
      </c>
      <c r="L796" t="str">
        <f>VLOOKUP(Call_Center_Data[[#This Row],[Call Type ID]], Call_Type[], 2, FALSE)</f>
        <v>Billing</v>
      </c>
    </row>
    <row r="797" spans="1:12" x14ac:dyDescent="0.3">
      <c r="A797">
        <v>796</v>
      </c>
      <c r="B797">
        <v>1</v>
      </c>
      <c r="C797" s="1">
        <v>45390</v>
      </c>
      <c r="D797" s="2" t="s">
        <v>64</v>
      </c>
      <c r="E797">
        <v>1</v>
      </c>
      <c r="F797">
        <v>58</v>
      </c>
      <c r="G797">
        <v>191</v>
      </c>
      <c r="H797">
        <v>322</v>
      </c>
      <c r="I797" t="str">
        <f>VLOOKUP(Call_Center_Data[[#This Row],[Emp ID]],Employee[],2,FALSE)</f>
        <v>Jill Simons</v>
      </c>
      <c r="J797" t="str">
        <f>VLOOKUP(Call_Center_Data[[#This Row],[Emp ID]], Employee[], 3, FALSE)</f>
        <v>Spokane, WA</v>
      </c>
      <c r="K797" t="str">
        <f>VLOOKUP(Call_Center_Data[[#This Row],[Emp ID]], Employee[], 4, FALSE)</f>
        <v>Jenny Rhodes</v>
      </c>
      <c r="L797" t="str">
        <f>VLOOKUP(Call_Center_Data[[#This Row],[Call Type ID]], Call_Type[], 2, FALSE)</f>
        <v>Billing</v>
      </c>
    </row>
    <row r="798" spans="1:12" x14ac:dyDescent="0.3">
      <c r="A798">
        <v>797</v>
      </c>
      <c r="B798">
        <v>2</v>
      </c>
      <c r="C798" s="1">
        <v>45391</v>
      </c>
      <c r="D798" s="2" t="s">
        <v>74</v>
      </c>
      <c r="E798">
        <v>1</v>
      </c>
      <c r="F798">
        <v>58</v>
      </c>
      <c r="G798">
        <v>219</v>
      </c>
      <c r="H798">
        <v>525</v>
      </c>
      <c r="I798" t="str">
        <f>VLOOKUP(Call_Center_Data[[#This Row],[Emp ID]],Employee[],2,FALSE)</f>
        <v>Gina John</v>
      </c>
      <c r="J798" t="str">
        <f>VLOOKUP(Call_Center_Data[[#This Row],[Emp ID]], Employee[], 3, FALSE)</f>
        <v>Jacksonville, WA</v>
      </c>
      <c r="K798" t="str">
        <f>VLOOKUP(Call_Center_Data[[#This Row],[Emp ID]], Employee[], 4, FALSE)</f>
        <v>Henry Gill</v>
      </c>
      <c r="L798" t="str">
        <f>VLOOKUP(Call_Center_Data[[#This Row],[Call Type ID]], Call_Type[], 2, FALSE)</f>
        <v>Sales</v>
      </c>
    </row>
    <row r="799" spans="1:12" x14ac:dyDescent="0.3">
      <c r="A799">
        <v>798</v>
      </c>
      <c r="B799">
        <v>1</v>
      </c>
      <c r="C799" s="1">
        <v>45392</v>
      </c>
      <c r="D799" s="2" t="s">
        <v>83</v>
      </c>
      <c r="E799">
        <v>0</v>
      </c>
      <c r="F799">
        <v>64</v>
      </c>
      <c r="G799">
        <v>213</v>
      </c>
      <c r="H799">
        <v>547</v>
      </c>
      <c r="I799" t="str">
        <f>VLOOKUP(Call_Center_Data[[#This Row],[Emp ID]],Employee[],2,FALSE)</f>
        <v>Ultor Simons</v>
      </c>
      <c r="J799" t="str">
        <f>VLOOKUP(Call_Center_Data[[#This Row],[Emp ID]], Employee[], 3, FALSE)</f>
        <v>Jacksonville, WA</v>
      </c>
      <c r="K799" t="str">
        <f>VLOOKUP(Call_Center_Data[[#This Row],[Emp ID]], Employee[], 4, FALSE)</f>
        <v>Pierce Hall</v>
      </c>
      <c r="L799" t="str">
        <f>VLOOKUP(Call_Center_Data[[#This Row],[Call Type ID]], Call_Type[], 2, FALSE)</f>
        <v>Billing</v>
      </c>
    </row>
    <row r="800" spans="1:12" x14ac:dyDescent="0.3">
      <c r="A800">
        <v>799</v>
      </c>
      <c r="B800">
        <v>2</v>
      </c>
      <c r="C800" s="1">
        <v>45393</v>
      </c>
      <c r="D800" s="2" t="s">
        <v>88</v>
      </c>
      <c r="E800">
        <v>1</v>
      </c>
      <c r="F800">
        <v>121</v>
      </c>
      <c r="G800">
        <v>235</v>
      </c>
      <c r="H800">
        <v>738</v>
      </c>
      <c r="I800" t="str">
        <f>VLOOKUP(Call_Center_Data[[#This Row],[Emp ID]],Employee[],2,FALSE)</f>
        <v>Gina Gilder</v>
      </c>
      <c r="J800" t="str">
        <f>VLOOKUP(Call_Center_Data[[#This Row],[Emp ID]], Employee[], 3, FALSE)</f>
        <v>Jacksonville, WA</v>
      </c>
      <c r="K800" t="str">
        <f>VLOOKUP(Call_Center_Data[[#This Row],[Emp ID]], Employee[], 4, FALSE)</f>
        <v>Pierce Rhodes</v>
      </c>
      <c r="L800" t="str">
        <f>VLOOKUP(Call_Center_Data[[#This Row],[Call Type ID]], Call_Type[], 2, FALSE)</f>
        <v>Sales</v>
      </c>
    </row>
    <row r="801" spans="1:12" x14ac:dyDescent="0.3">
      <c r="A801">
        <v>800</v>
      </c>
      <c r="B801">
        <v>2</v>
      </c>
      <c r="C801" s="1">
        <v>45394</v>
      </c>
      <c r="D801" s="2" t="s">
        <v>73</v>
      </c>
      <c r="E801">
        <v>0</v>
      </c>
      <c r="F801">
        <v>168</v>
      </c>
      <c r="G801">
        <v>172</v>
      </c>
      <c r="H801">
        <v>998</v>
      </c>
      <c r="I801" t="str">
        <f>VLOOKUP(Call_Center_Data[[#This Row],[Emp ID]],Employee[],2,FALSE)</f>
        <v>Jill John</v>
      </c>
      <c r="J801" t="str">
        <f>VLOOKUP(Call_Center_Data[[#This Row],[Emp ID]], Employee[], 3, FALSE)</f>
        <v>Spokane, WA</v>
      </c>
      <c r="K801" t="str">
        <f>VLOOKUP(Call_Center_Data[[#This Row],[Emp ID]], Employee[], 4, FALSE)</f>
        <v>John Gill</v>
      </c>
      <c r="L801" t="str">
        <f>VLOOKUP(Call_Center_Data[[#This Row],[Call Type ID]], Call_Type[], 2, FALSE)</f>
        <v>Sales</v>
      </c>
    </row>
    <row r="802" spans="1:12" x14ac:dyDescent="0.3">
      <c r="A802">
        <v>801</v>
      </c>
      <c r="B802">
        <v>2</v>
      </c>
      <c r="C802" s="1">
        <v>45395</v>
      </c>
      <c r="D802" s="2" t="s">
        <v>88</v>
      </c>
      <c r="E802">
        <v>1</v>
      </c>
      <c r="F802">
        <v>161</v>
      </c>
      <c r="G802">
        <v>253</v>
      </c>
      <c r="H802">
        <v>1302</v>
      </c>
      <c r="I802" t="str">
        <f>VLOOKUP(Call_Center_Data[[#This Row],[Emp ID]],Employee[],2,FALSE)</f>
        <v>Gina Gilder</v>
      </c>
      <c r="J802" t="str">
        <f>VLOOKUP(Call_Center_Data[[#This Row],[Emp ID]], Employee[], 3, FALSE)</f>
        <v>Jacksonville, WA</v>
      </c>
      <c r="K802" t="str">
        <f>VLOOKUP(Call_Center_Data[[#This Row],[Emp ID]], Employee[], 4, FALSE)</f>
        <v>Pierce Rhodes</v>
      </c>
      <c r="L802" t="str">
        <f>VLOOKUP(Call_Center_Data[[#This Row],[Call Type ID]], Call_Type[], 2, FALSE)</f>
        <v>Sales</v>
      </c>
    </row>
    <row r="803" spans="1:12" x14ac:dyDescent="0.3">
      <c r="A803">
        <v>802</v>
      </c>
      <c r="B803">
        <v>2</v>
      </c>
      <c r="C803" s="1">
        <v>45396</v>
      </c>
      <c r="D803" s="2" t="s">
        <v>78</v>
      </c>
      <c r="E803">
        <v>0</v>
      </c>
      <c r="F803">
        <v>127</v>
      </c>
      <c r="G803">
        <v>209</v>
      </c>
      <c r="H803">
        <v>744</v>
      </c>
      <c r="I803" t="str">
        <f>VLOOKUP(Call_Center_Data[[#This Row],[Emp ID]],Employee[],2,FALSE)</f>
        <v>Jill Saab</v>
      </c>
      <c r="J803" t="str">
        <f>VLOOKUP(Call_Center_Data[[#This Row],[Emp ID]], Employee[], 3, FALSE)</f>
        <v>Spokane, WA</v>
      </c>
      <c r="K803" t="str">
        <f>VLOOKUP(Call_Center_Data[[#This Row],[Emp ID]], Employee[], 4, FALSE)</f>
        <v>Timmy Gill</v>
      </c>
      <c r="L803" t="str">
        <f>VLOOKUP(Call_Center_Data[[#This Row],[Call Type ID]], Call_Type[], 2, FALSE)</f>
        <v>Sales</v>
      </c>
    </row>
    <row r="804" spans="1:12" x14ac:dyDescent="0.3">
      <c r="A804">
        <v>803</v>
      </c>
      <c r="B804">
        <v>3</v>
      </c>
      <c r="C804" s="1">
        <v>45397</v>
      </c>
      <c r="D804" s="2" t="s">
        <v>70</v>
      </c>
      <c r="E804">
        <v>1</v>
      </c>
      <c r="F804">
        <v>34</v>
      </c>
      <c r="G804">
        <v>263</v>
      </c>
      <c r="H804">
        <v>284</v>
      </c>
      <c r="I804" t="str">
        <f>VLOOKUP(Call_Center_Data[[#This Row],[Emp ID]],Employee[],2,FALSE)</f>
        <v>Jill Pat</v>
      </c>
      <c r="J804" t="str">
        <f>VLOOKUP(Call_Center_Data[[#This Row],[Emp ID]], Employee[], 3, FALSE)</f>
        <v>Aurora, CO</v>
      </c>
      <c r="K804" t="str">
        <f>VLOOKUP(Call_Center_Data[[#This Row],[Emp ID]], Employee[], 4, FALSE)</f>
        <v>Henry Rhodes</v>
      </c>
      <c r="L804" t="str">
        <f>VLOOKUP(Call_Center_Data[[#This Row],[Call Type ID]], Call_Type[], 2, FALSE)</f>
        <v>Tech Sup</v>
      </c>
    </row>
    <row r="805" spans="1:12" x14ac:dyDescent="0.3">
      <c r="A805">
        <v>804</v>
      </c>
      <c r="B805">
        <v>2</v>
      </c>
      <c r="C805" s="1">
        <v>45398</v>
      </c>
      <c r="D805" s="2" t="s">
        <v>66</v>
      </c>
      <c r="E805">
        <v>0</v>
      </c>
      <c r="F805">
        <v>132</v>
      </c>
      <c r="G805">
        <v>243</v>
      </c>
      <c r="H805">
        <v>744</v>
      </c>
      <c r="I805" t="str">
        <f>VLOOKUP(Call_Center_Data[[#This Row],[Emp ID]],Employee[],2,FALSE)</f>
        <v>Tina John</v>
      </c>
      <c r="J805" t="str">
        <f>VLOOKUP(Call_Center_Data[[#This Row],[Emp ID]], Employee[], 3, FALSE)</f>
        <v>Aurora, CO</v>
      </c>
      <c r="K805" t="str">
        <f>VLOOKUP(Call_Center_Data[[#This Row],[Emp ID]], Employee[], 4, FALSE)</f>
        <v>Timmy Rhodes</v>
      </c>
      <c r="L805" t="str">
        <f>VLOOKUP(Call_Center_Data[[#This Row],[Call Type ID]], Call_Type[], 2, FALSE)</f>
        <v>Sales</v>
      </c>
    </row>
    <row r="806" spans="1:12" x14ac:dyDescent="0.3">
      <c r="A806">
        <v>805</v>
      </c>
      <c r="B806">
        <v>1</v>
      </c>
      <c r="C806" s="1">
        <v>45399</v>
      </c>
      <c r="D806" s="2" t="s">
        <v>68</v>
      </c>
      <c r="E806">
        <v>1</v>
      </c>
      <c r="F806">
        <v>64</v>
      </c>
      <c r="G806">
        <v>214</v>
      </c>
      <c r="H806">
        <v>372</v>
      </c>
      <c r="I806" t="str">
        <f>VLOOKUP(Call_Center_Data[[#This Row],[Emp ID]],Employee[],2,FALSE)</f>
        <v>Tina Saab</v>
      </c>
      <c r="J806" t="str">
        <f>VLOOKUP(Call_Center_Data[[#This Row],[Emp ID]], Employee[], 3, FALSE)</f>
        <v>Spokane, WA</v>
      </c>
      <c r="K806" t="str">
        <f>VLOOKUP(Call_Center_Data[[#This Row],[Emp ID]], Employee[], 4, FALSE)</f>
        <v>Henry Baas</v>
      </c>
      <c r="L806" t="str">
        <f>VLOOKUP(Call_Center_Data[[#This Row],[Call Type ID]], Call_Type[], 2, FALSE)</f>
        <v>Billing</v>
      </c>
    </row>
    <row r="807" spans="1:12" x14ac:dyDescent="0.3">
      <c r="A807">
        <v>806</v>
      </c>
      <c r="B807">
        <v>3</v>
      </c>
      <c r="C807" s="1">
        <v>45400</v>
      </c>
      <c r="D807" s="2" t="s">
        <v>79</v>
      </c>
      <c r="E807">
        <v>0</v>
      </c>
      <c r="F807">
        <v>130</v>
      </c>
      <c r="G807">
        <v>237</v>
      </c>
      <c r="H807">
        <v>818</v>
      </c>
      <c r="I807" t="str">
        <f>VLOOKUP(Call_Center_Data[[#This Row],[Emp ID]],Employee[],2,FALSE)</f>
        <v>Gina Simons</v>
      </c>
      <c r="J807" t="str">
        <f>VLOOKUP(Call_Center_Data[[#This Row],[Emp ID]], Employee[], 3, FALSE)</f>
        <v>Spokane, WA</v>
      </c>
      <c r="K807" t="str">
        <f>VLOOKUP(Call_Center_Data[[#This Row],[Emp ID]], Employee[], 4, FALSE)</f>
        <v>John Rhodes</v>
      </c>
      <c r="L807" t="str">
        <f>VLOOKUP(Call_Center_Data[[#This Row],[Call Type ID]], Call_Type[], 2, FALSE)</f>
        <v>Tech Sup</v>
      </c>
    </row>
    <row r="808" spans="1:12" x14ac:dyDescent="0.3">
      <c r="A808">
        <v>807</v>
      </c>
      <c r="B808">
        <v>2</v>
      </c>
      <c r="C808" s="1">
        <v>45401</v>
      </c>
      <c r="D808" s="2" t="s">
        <v>65</v>
      </c>
      <c r="E808">
        <v>1</v>
      </c>
      <c r="F808">
        <v>102</v>
      </c>
      <c r="G808">
        <v>208</v>
      </c>
      <c r="H808">
        <v>792</v>
      </c>
      <c r="I808" t="str">
        <f>VLOOKUP(Call_Center_Data[[#This Row],[Emp ID]],Employee[],2,FALSE)</f>
        <v>Ultor John</v>
      </c>
      <c r="J808" t="str">
        <f>VLOOKUP(Call_Center_Data[[#This Row],[Emp ID]], Employee[], 3, FALSE)</f>
        <v>Spokane, WA</v>
      </c>
      <c r="K808" t="str">
        <f>VLOOKUP(Call_Center_Data[[#This Row],[Emp ID]], Employee[], 4, FALSE)</f>
        <v>John Mack</v>
      </c>
      <c r="L808" t="str">
        <f>VLOOKUP(Call_Center_Data[[#This Row],[Call Type ID]], Call_Type[], 2, FALSE)</f>
        <v>Sales</v>
      </c>
    </row>
    <row r="809" spans="1:12" x14ac:dyDescent="0.3">
      <c r="A809">
        <v>808</v>
      </c>
      <c r="B809">
        <v>1</v>
      </c>
      <c r="C809" s="1">
        <v>45402</v>
      </c>
      <c r="D809" s="2" t="s">
        <v>72</v>
      </c>
      <c r="E809">
        <v>1</v>
      </c>
      <c r="F809">
        <v>113</v>
      </c>
      <c r="G809">
        <v>214</v>
      </c>
      <c r="H809">
        <v>1162</v>
      </c>
      <c r="I809" t="str">
        <f>VLOOKUP(Call_Center_Data[[#This Row],[Emp ID]],Employee[],2,FALSE)</f>
        <v>Ultor Pat</v>
      </c>
      <c r="J809" t="str">
        <f>VLOOKUP(Call_Center_Data[[#This Row],[Emp ID]], Employee[], 3, FALSE)</f>
        <v>Jacksonville, WA</v>
      </c>
      <c r="K809" t="str">
        <f>VLOOKUP(Call_Center_Data[[#This Row],[Emp ID]], Employee[], 4, FALSE)</f>
        <v>Jenny Hall</v>
      </c>
      <c r="L809" t="str">
        <f>VLOOKUP(Call_Center_Data[[#This Row],[Call Type ID]], Call_Type[], 2, FALSE)</f>
        <v>Billing</v>
      </c>
    </row>
    <row r="810" spans="1:12" x14ac:dyDescent="0.3">
      <c r="A810">
        <v>809</v>
      </c>
      <c r="B810">
        <v>2</v>
      </c>
      <c r="C810" s="1">
        <v>45403</v>
      </c>
      <c r="D810" s="2" t="s">
        <v>76</v>
      </c>
      <c r="E810">
        <v>1</v>
      </c>
      <c r="F810">
        <v>85</v>
      </c>
      <c r="G810">
        <v>231</v>
      </c>
      <c r="H810">
        <v>682</v>
      </c>
      <c r="I810" t="str">
        <f>VLOOKUP(Call_Center_Data[[#This Row],[Emp ID]],Employee[],2,FALSE)</f>
        <v>Ultor Saab</v>
      </c>
      <c r="J810" t="str">
        <f>VLOOKUP(Call_Center_Data[[#This Row],[Emp ID]], Employee[], 3, FALSE)</f>
        <v>Aurora, CO</v>
      </c>
      <c r="K810" t="str">
        <f>VLOOKUP(Call_Center_Data[[#This Row],[Emp ID]], Employee[], 4, FALSE)</f>
        <v>Pierce Baas</v>
      </c>
      <c r="L810" t="str">
        <f>VLOOKUP(Call_Center_Data[[#This Row],[Call Type ID]], Call_Type[], 2, FALSE)</f>
        <v>Sales</v>
      </c>
    </row>
    <row r="811" spans="1:12" x14ac:dyDescent="0.3">
      <c r="A811">
        <v>810</v>
      </c>
      <c r="B811">
        <v>3</v>
      </c>
      <c r="C811" s="1">
        <v>45404</v>
      </c>
      <c r="D811" s="2" t="s">
        <v>86</v>
      </c>
      <c r="E811">
        <v>0</v>
      </c>
      <c r="F811">
        <v>14</v>
      </c>
      <c r="G811">
        <v>206</v>
      </c>
      <c r="H811">
        <v>201</v>
      </c>
      <c r="I811" t="str">
        <f>VLOOKUP(Call_Center_Data[[#This Row],[Emp ID]],Employee[],2,FALSE)</f>
        <v>Jill Gilder</v>
      </c>
      <c r="J811" t="str">
        <f>VLOOKUP(Call_Center_Data[[#This Row],[Emp ID]], Employee[], 3, FALSE)</f>
        <v>Aurora, CO</v>
      </c>
      <c r="K811" t="str">
        <f>VLOOKUP(Call_Center_Data[[#This Row],[Emp ID]], Employee[], 4, FALSE)</f>
        <v>Jenny Baas</v>
      </c>
      <c r="L811" t="str">
        <f>VLOOKUP(Call_Center_Data[[#This Row],[Call Type ID]], Call_Type[], 2, FALSE)</f>
        <v>Tech Sup</v>
      </c>
    </row>
    <row r="812" spans="1:12" x14ac:dyDescent="0.3">
      <c r="A812">
        <v>811</v>
      </c>
      <c r="B812">
        <v>1</v>
      </c>
      <c r="C812" s="1">
        <v>45405</v>
      </c>
      <c r="D812" s="2" t="s">
        <v>87</v>
      </c>
      <c r="E812">
        <v>0</v>
      </c>
      <c r="F812">
        <v>24</v>
      </c>
      <c r="G812">
        <v>222</v>
      </c>
      <c r="H812">
        <v>328</v>
      </c>
      <c r="I812" t="str">
        <f>VLOOKUP(Call_Center_Data[[#This Row],[Emp ID]],Employee[],2,FALSE)</f>
        <v>Gina Saab</v>
      </c>
      <c r="J812" t="str">
        <f>VLOOKUP(Call_Center_Data[[#This Row],[Emp ID]], Employee[], 3, FALSE)</f>
        <v>Jacksonville, WA</v>
      </c>
      <c r="K812" t="str">
        <f>VLOOKUP(Call_Center_Data[[#This Row],[Emp ID]], Employee[], 4, FALSE)</f>
        <v>Jenny Gill</v>
      </c>
      <c r="L812" t="str">
        <f>VLOOKUP(Call_Center_Data[[#This Row],[Call Type ID]], Call_Type[], 2, FALSE)</f>
        <v>Billing</v>
      </c>
    </row>
    <row r="813" spans="1:12" x14ac:dyDescent="0.3">
      <c r="A813">
        <v>812</v>
      </c>
      <c r="B813">
        <v>1</v>
      </c>
      <c r="C813" s="1">
        <v>45406</v>
      </c>
      <c r="D813" s="2" t="s">
        <v>74</v>
      </c>
      <c r="E813">
        <v>1</v>
      </c>
      <c r="F813">
        <v>30</v>
      </c>
      <c r="G813">
        <v>222</v>
      </c>
      <c r="H813">
        <v>473</v>
      </c>
      <c r="I813" t="str">
        <f>VLOOKUP(Call_Center_Data[[#This Row],[Emp ID]],Employee[],2,FALSE)</f>
        <v>Gina John</v>
      </c>
      <c r="J813" t="str">
        <f>VLOOKUP(Call_Center_Data[[#This Row],[Emp ID]], Employee[], 3, FALSE)</f>
        <v>Jacksonville, WA</v>
      </c>
      <c r="K813" t="str">
        <f>VLOOKUP(Call_Center_Data[[#This Row],[Emp ID]], Employee[], 4, FALSE)</f>
        <v>Henry Gill</v>
      </c>
      <c r="L813" t="str">
        <f>VLOOKUP(Call_Center_Data[[#This Row],[Call Type ID]], Call_Type[], 2, FALSE)</f>
        <v>Billing</v>
      </c>
    </row>
    <row r="814" spans="1:12" x14ac:dyDescent="0.3">
      <c r="A814">
        <v>813</v>
      </c>
      <c r="B814">
        <v>2</v>
      </c>
      <c r="C814" s="1">
        <v>45407</v>
      </c>
      <c r="D814" s="2" t="s">
        <v>85</v>
      </c>
      <c r="E814">
        <v>0</v>
      </c>
      <c r="F814">
        <v>14</v>
      </c>
      <c r="G814">
        <v>212</v>
      </c>
      <c r="H814">
        <v>189</v>
      </c>
      <c r="I814" t="str">
        <f>VLOOKUP(Call_Center_Data[[#This Row],[Emp ID]],Employee[],2,FALSE)</f>
        <v>Tina Gilder</v>
      </c>
      <c r="J814" t="str">
        <f>VLOOKUP(Call_Center_Data[[#This Row],[Emp ID]], Employee[], 3, FALSE)</f>
        <v>Spokane, WA</v>
      </c>
      <c r="K814" t="str">
        <f>VLOOKUP(Call_Center_Data[[#This Row],[Emp ID]], Employee[], 4, FALSE)</f>
        <v>Timmy Baas</v>
      </c>
      <c r="L814" t="str">
        <f>VLOOKUP(Call_Center_Data[[#This Row],[Call Type ID]], Call_Type[], 2, FALSE)</f>
        <v>Sales</v>
      </c>
    </row>
    <row r="815" spans="1:12" x14ac:dyDescent="0.3">
      <c r="A815">
        <v>814</v>
      </c>
      <c r="B815">
        <v>1</v>
      </c>
      <c r="C815" s="1">
        <v>45408</v>
      </c>
      <c r="D815" s="2" t="s">
        <v>72</v>
      </c>
      <c r="E815">
        <v>1</v>
      </c>
      <c r="F815">
        <v>32</v>
      </c>
      <c r="G815">
        <v>205</v>
      </c>
      <c r="H815">
        <v>372</v>
      </c>
      <c r="I815" t="str">
        <f>VLOOKUP(Call_Center_Data[[#This Row],[Emp ID]],Employee[],2,FALSE)</f>
        <v>Ultor Pat</v>
      </c>
      <c r="J815" t="str">
        <f>VLOOKUP(Call_Center_Data[[#This Row],[Emp ID]], Employee[], 3, FALSE)</f>
        <v>Jacksonville, WA</v>
      </c>
      <c r="K815" t="str">
        <f>VLOOKUP(Call_Center_Data[[#This Row],[Emp ID]], Employee[], 4, FALSE)</f>
        <v>Jenny Hall</v>
      </c>
      <c r="L815" t="str">
        <f>VLOOKUP(Call_Center_Data[[#This Row],[Call Type ID]], Call_Type[], 2, FALSE)</f>
        <v>Billing</v>
      </c>
    </row>
    <row r="816" spans="1:12" x14ac:dyDescent="0.3">
      <c r="A816">
        <v>815</v>
      </c>
      <c r="B816">
        <v>2</v>
      </c>
      <c r="C816" s="1">
        <v>45409</v>
      </c>
      <c r="D816" s="2" t="s">
        <v>76</v>
      </c>
      <c r="E816">
        <v>0</v>
      </c>
      <c r="F816">
        <v>61</v>
      </c>
      <c r="G816">
        <v>207</v>
      </c>
      <c r="H816">
        <v>475</v>
      </c>
      <c r="I816" t="str">
        <f>VLOOKUP(Call_Center_Data[[#This Row],[Emp ID]],Employee[],2,FALSE)</f>
        <v>Ultor Saab</v>
      </c>
      <c r="J816" t="str">
        <f>VLOOKUP(Call_Center_Data[[#This Row],[Emp ID]], Employee[], 3, FALSE)</f>
        <v>Aurora, CO</v>
      </c>
      <c r="K816" t="str">
        <f>VLOOKUP(Call_Center_Data[[#This Row],[Emp ID]], Employee[], 4, FALSE)</f>
        <v>Pierce Baas</v>
      </c>
      <c r="L816" t="str">
        <f>VLOOKUP(Call_Center_Data[[#This Row],[Call Type ID]], Call_Type[], 2, FALSE)</f>
        <v>Sales</v>
      </c>
    </row>
    <row r="817" spans="1:12" x14ac:dyDescent="0.3">
      <c r="A817">
        <v>816</v>
      </c>
      <c r="B817">
        <v>3</v>
      </c>
      <c r="C817" s="1">
        <v>45410</v>
      </c>
      <c r="D817" s="2" t="s">
        <v>87</v>
      </c>
      <c r="E817">
        <v>0</v>
      </c>
      <c r="F817">
        <v>41</v>
      </c>
      <c r="G817">
        <v>195</v>
      </c>
      <c r="H817">
        <v>410</v>
      </c>
      <c r="I817" t="str">
        <f>VLOOKUP(Call_Center_Data[[#This Row],[Emp ID]],Employee[],2,FALSE)</f>
        <v>Gina Saab</v>
      </c>
      <c r="J817" t="str">
        <f>VLOOKUP(Call_Center_Data[[#This Row],[Emp ID]], Employee[], 3, FALSE)</f>
        <v>Jacksonville, WA</v>
      </c>
      <c r="K817" t="str">
        <f>VLOOKUP(Call_Center_Data[[#This Row],[Emp ID]], Employee[], 4, FALSE)</f>
        <v>Jenny Gill</v>
      </c>
      <c r="L817" t="str">
        <f>VLOOKUP(Call_Center_Data[[#This Row],[Call Type ID]], Call_Type[], 2, FALSE)</f>
        <v>Tech Sup</v>
      </c>
    </row>
    <row r="818" spans="1:12" x14ac:dyDescent="0.3">
      <c r="A818">
        <v>817</v>
      </c>
      <c r="B818">
        <v>2</v>
      </c>
      <c r="C818" s="1">
        <v>45411</v>
      </c>
      <c r="D818" s="2" t="s">
        <v>64</v>
      </c>
      <c r="E818">
        <v>1</v>
      </c>
      <c r="F818">
        <v>9</v>
      </c>
      <c r="G818">
        <v>195</v>
      </c>
      <c r="H818">
        <v>143</v>
      </c>
      <c r="I818" t="str">
        <f>VLOOKUP(Call_Center_Data[[#This Row],[Emp ID]],Employee[],2,FALSE)</f>
        <v>Jill Simons</v>
      </c>
      <c r="J818" t="str">
        <f>VLOOKUP(Call_Center_Data[[#This Row],[Emp ID]], Employee[], 3, FALSE)</f>
        <v>Spokane, WA</v>
      </c>
      <c r="K818" t="str">
        <f>VLOOKUP(Call_Center_Data[[#This Row],[Emp ID]], Employee[], 4, FALSE)</f>
        <v>Jenny Rhodes</v>
      </c>
      <c r="L818" t="str">
        <f>VLOOKUP(Call_Center_Data[[#This Row],[Call Type ID]], Call_Type[], 2, FALSE)</f>
        <v>Sales</v>
      </c>
    </row>
    <row r="819" spans="1:12" x14ac:dyDescent="0.3">
      <c r="A819">
        <v>818</v>
      </c>
      <c r="B819">
        <v>2</v>
      </c>
      <c r="C819" s="1">
        <v>45412</v>
      </c>
      <c r="D819" s="2" t="s">
        <v>81</v>
      </c>
      <c r="E819">
        <v>1</v>
      </c>
      <c r="F819">
        <v>51</v>
      </c>
      <c r="G819">
        <v>203</v>
      </c>
      <c r="H819">
        <v>406</v>
      </c>
      <c r="I819" t="str">
        <f>VLOOKUP(Call_Center_Data[[#This Row],[Emp ID]],Employee[],2,FALSE)</f>
        <v>Sam Simons</v>
      </c>
      <c r="J819" t="str">
        <f>VLOOKUP(Call_Center_Data[[#This Row],[Emp ID]], Employee[], 3, FALSE)</f>
        <v>Jacksonville, WA</v>
      </c>
      <c r="K819" t="str">
        <f>VLOOKUP(Call_Center_Data[[#This Row],[Emp ID]], Employee[], 4, FALSE)</f>
        <v>John Baas</v>
      </c>
      <c r="L819" t="str">
        <f>VLOOKUP(Call_Center_Data[[#This Row],[Call Type ID]], Call_Type[], 2, FALSE)</f>
        <v>Sales</v>
      </c>
    </row>
    <row r="820" spans="1:12" x14ac:dyDescent="0.3">
      <c r="A820">
        <v>819</v>
      </c>
      <c r="B820">
        <v>3</v>
      </c>
      <c r="C820" s="1">
        <v>45413</v>
      </c>
      <c r="D820" s="2" t="s">
        <v>87</v>
      </c>
      <c r="E820">
        <v>1</v>
      </c>
      <c r="F820">
        <v>30</v>
      </c>
      <c r="G820">
        <v>197</v>
      </c>
      <c r="H820">
        <v>248</v>
      </c>
      <c r="I820" t="str">
        <f>VLOOKUP(Call_Center_Data[[#This Row],[Emp ID]],Employee[],2,FALSE)</f>
        <v>Gina Saab</v>
      </c>
      <c r="J820" t="str">
        <f>VLOOKUP(Call_Center_Data[[#This Row],[Emp ID]], Employee[], 3, FALSE)</f>
        <v>Jacksonville, WA</v>
      </c>
      <c r="K820" t="str">
        <f>VLOOKUP(Call_Center_Data[[#This Row],[Emp ID]], Employee[], 4, FALSE)</f>
        <v>Jenny Gill</v>
      </c>
      <c r="L820" t="str">
        <f>VLOOKUP(Call_Center_Data[[#This Row],[Call Type ID]], Call_Type[], 2, FALSE)</f>
        <v>Tech Sup</v>
      </c>
    </row>
    <row r="821" spans="1:12" x14ac:dyDescent="0.3">
      <c r="A821">
        <v>820</v>
      </c>
      <c r="B821">
        <v>1</v>
      </c>
      <c r="C821" s="1">
        <v>45414</v>
      </c>
      <c r="D821" s="2" t="s">
        <v>67</v>
      </c>
      <c r="E821">
        <v>1</v>
      </c>
      <c r="F821">
        <v>26</v>
      </c>
      <c r="G821">
        <v>181</v>
      </c>
      <c r="H821">
        <v>310</v>
      </c>
      <c r="I821" t="str">
        <f>VLOOKUP(Call_Center_Data[[#This Row],[Emp ID]],Employee[],2,FALSE)</f>
        <v>Tina Pat</v>
      </c>
      <c r="J821" t="str">
        <f>VLOOKUP(Call_Center_Data[[#This Row],[Emp ID]], Employee[], 3, FALSE)</f>
        <v>Jacksonville, WA</v>
      </c>
      <c r="K821" t="str">
        <f>VLOOKUP(Call_Center_Data[[#This Row],[Emp ID]], Employee[], 4, FALSE)</f>
        <v>John Hall</v>
      </c>
      <c r="L821" t="str">
        <f>VLOOKUP(Call_Center_Data[[#This Row],[Call Type ID]], Call_Type[], 2, FALSE)</f>
        <v>Billing</v>
      </c>
    </row>
    <row r="822" spans="1:12" x14ac:dyDescent="0.3">
      <c r="A822">
        <v>821</v>
      </c>
      <c r="B822">
        <v>3</v>
      </c>
      <c r="C822" s="1">
        <v>45415</v>
      </c>
      <c r="D822" s="2" t="s">
        <v>67</v>
      </c>
      <c r="E822">
        <v>0</v>
      </c>
      <c r="F822">
        <v>26</v>
      </c>
      <c r="G822">
        <v>211</v>
      </c>
      <c r="H822">
        <v>298</v>
      </c>
      <c r="I822" t="str">
        <f>VLOOKUP(Call_Center_Data[[#This Row],[Emp ID]],Employee[],2,FALSE)</f>
        <v>Tina Pat</v>
      </c>
      <c r="J822" t="str">
        <f>VLOOKUP(Call_Center_Data[[#This Row],[Emp ID]], Employee[], 3, FALSE)</f>
        <v>Jacksonville, WA</v>
      </c>
      <c r="K822" t="str">
        <f>VLOOKUP(Call_Center_Data[[#This Row],[Emp ID]], Employee[], 4, FALSE)</f>
        <v>John Hall</v>
      </c>
      <c r="L822" t="str">
        <f>VLOOKUP(Call_Center_Data[[#This Row],[Call Type ID]], Call_Type[], 2, FALSE)</f>
        <v>Tech Sup</v>
      </c>
    </row>
    <row r="823" spans="1:12" x14ac:dyDescent="0.3">
      <c r="A823">
        <v>822</v>
      </c>
      <c r="B823">
        <v>2</v>
      </c>
      <c r="C823" s="1">
        <v>45416</v>
      </c>
      <c r="D823" s="2" t="s">
        <v>86</v>
      </c>
      <c r="E823">
        <v>0</v>
      </c>
      <c r="F823">
        <v>23</v>
      </c>
      <c r="G823">
        <v>170</v>
      </c>
      <c r="H823">
        <v>121</v>
      </c>
      <c r="I823" t="str">
        <f>VLOOKUP(Call_Center_Data[[#This Row],[Emp ID]],Employee[],2,FALSE)</f>
        <v>Jill Gilder</v>
      </c>
      <c r="J823" t="str">
        <f>VLOOKUP(Call_Center_Data[[#This Row],[Emp ID]], Employee[], 3, FALSE)</f>
        <v>Aurora, CO</v>
      </c>
      <c r="K823" t="str">
        <f>VLOOKUP(Call_Center_Data[[#This Row],[Emp ID]], Employee[], 4, FALSE)</f>
        <v>Jenny Baas</v>
      </c>
      <c r="L823" t="str">
        <f>VLOOKUP(Call_Center_Data[[#This Row],[Call Type ID]], Call_Type[], 2, FALSE)</f>
        <v>Sales</v>
      </c>
    </row>
    <row r="824" spans="1:12" x14ac:dyDescent="0.3">
      <c r="A824">
        <v>823</v>
      </c>
      <c r="B824">
        <v>1</v>
      </c>
      <c r="C824" s="1">
        <v>45417</v>
      </c>
      <c r="D824" s="2" t="s">
        <v>84</v>
      </c>
      <c r="E824">
        <v>1</v>
      </c>
      <c r="F824">
        <v>44</v>
      </c>
      <c r="G824">
        <v>183</v>
      </c>
      <c r="H824">
        <v>304</v>
      </c>
      <c r="I824" t="str">
        <f>VLOOKUP(Call_Center_Data[[#This Row],[Emp ID]],Employee[],2,FALSE)</f>
        <v>Sam John</v>
      </c>
      <c r="J824" t="str">
        <f>VLOOKUP(Call_Center_Data[[#This Row],[Emp ID]], Employee[], 3, FALSE)</f>
        <v>Aurora, CO</v>
      </c>
      <c r="K824" t="str">
        <f>VLOOKUP(Call_Center_Data[[#This Row],[Emp ID]], Employee[], 4, FALSE)</f>
        <v>Jenny Mack</v>
      </c>
      <c r="L824" t="str">
        <f>VLOOKUP(Call_Center_Data[[#This Row],[Call Type ID]], Call_Type[], 2, FALSE)</f>
        <v>Billing</v>
      </c>
    </row>
    <row r="825" spans="1:12" x14ac:dyDescent="0.3">
      <c r="A825">
        <v>824</v>
      </c>
      <c r="B825">
        <v>2</v>
      </c>
      <c r="C825" s="1">
        <v>45418</v>
      </c>
      <c r="D825" s="2" t="s">
        <v>87</v>
      </c>
      <c r="E825">
        <v>0</v>
      </c>
      <c r="F825">
        <v>11</v>
      </c>
      <c r="G825">
        <v>199</v>
      </c>
      <c r="H825">
        <v>84</v>
      </c>
      <c r="I825" t="str">
        <f>VLOOKUP(Call_Center_Data[[#This Row],[Emp ID]],Employee[],2,FALSE)</f>
        <v>Gina Saab</v>
      </c>
      <c r="J825" t="str">
        <f>VLOOKUP(Call_Center_Data[[#This Row],[Emp ID]], Employee[], 3, FALSE)</f>
        <v>Jacksonville, WA</v>
      </c>
      <c r="K825" t="str">
        <f>VLOOKUP(Call_Center_Data[[#This Row],[Emp ID]], Employee[], 4, FALSE)</f>
        <v>Jenny Gill</v>
      </c>
      <c r="L825" t="str">
        <f>VLOOKUP(Call_Center_Data[[#This Row],[Call Type ID]], Call_Type[], 2, FALSE)</f>
        <v>Sales</v>
      </c>
    </row>
    <row r="826" spans="1:12" x14ac:dyDescent="0.3">
      <c r="A826">
        <v>825</v>
      </c>
      <c r="B826">
        <v>1</v>
      </c>
      <c r="C826" s="1">
        <v>45419</v>
      </c>
      <c r="D826" s="2" t="s">
        <v>83</v>
      </c>
      <c r="E826">
        <v>0</v>
      </c>
      <c r="F826">
        <v>31</v>
      </c>
      <c r="G826">
        <v>198</v>
      </c>
      <c r="H826">
        <v>251</v>
      </c>
      <c r="I826" t="str">
        <f>VLOOKUP(Call_Center_Data[[#This Row],[Emp ID]],Employee[],2,FALSE)</f>
        <v>Ultor Simons</v>
      </c>
      <c r="J826" t="str">
        <f>VLOOKUP(Call_Center_Data[[#This Row],[Emp ID]], Employee[], 3, FALSE)</f>
        <v>Jacksonville, WA</v>
      </c>
      <c r="K826" t="str">
        <f>VLOOKUP(Call_Center_Data[[#This Row],[Emp ID]], Employee[], 4, FALSE)</f>
        <v>Pierce Hall</v>
      </c>
      <c r="L826" t="str">
        <f>VLOOKUP(Call_Center_Data[[#This Row],[Call Type ID]], Call_Type[], 2, FALSE)</f>
        <v>Billing</v>
      </c>
    </row>
    <row r="827" spans="1:12" x14ac:dyDescent="0.3">
      <c r="A827">
        <v>826</v>
      </c>
      <c r="B827">
        <v>3</v>
      </c>
      <c r="C827" s="1">
        <v>45420</v>
      </c>
      <c r="D827" s="2" t="s">
        <v>85</v>
      </c>
      <c r="E827">
        <v>0</v>
      </c>
      <c r="F827">
        <v>48</v>
      </c>
      <c r="G827">
        <v>207</v>
      </c>
      <c r="H827">
        <v>310</v>
      </c>
      <c r="I827" t="str">
        <f>VLOOKUP(Call_Center_Data[[#This Row],[Emp ID]],Employee[],2,FALSE)</f>
        <v>Tina Gilder</v>
      </c>
      <c r="J827" t="str">
        <f>VLOOKUP(Call_Center_Data[[#This Row],[Emp ID]], Employee[], 3, FALSE)</f>
        <v>Spokane, WA</v>
      </c>
      <c r="K827" t="str">
        <f>VLOOKUP(Call_Center_Data[[#This Row],[Emp ID]], Employee[], 4, FALSE)</f>
        <v>Timmy Baas</v>
      </c>
      <c r="L827" t="str">
        <f>VLOOKUP(Call_Center_Data[[#This Row],[Call Type ID]], Call_Type[], 2, FALSE)</f>
        <v>Tech Sup</v>
      </c>
    </row>
    <row r="828" spans="1:12" x14ac:dyDescent="0.3">
      <c r="A828">
        <v>827</v>
      </c>
      <c r="B828">
        <v>2</v>
      </c>
      <c r="C828" s="1">
        <v>45421</v>
      </c>
      <c r="D828" s="2" t="s">
        <v>70</v>
      </c>
      <c r="E828">
        <v>1</v>
      </c>
      <c r="F828">
        <v>23</v>
      </c>
      <c r="G828">
        <v>193</v>
      </c>
      <c r="H828">
        <v>230</v>
      </c>
      <c r="I828" t="str">
        <f>VLOOKUP(Call_Center_Data[[#This Row],[Emp ID]],Employee[],2,FALSE)</f>
        <v>Jill Pat</v>
      </c>
      <c r="J828" t="str">
        <f>VLOOKUP(Call_Center_Data[[#This Row],[Emp ID]], Employee[], 3, FALSE)</f>
        <v>Aurora, CO</v>
      </c>
      <c r="K828" t="str">
        <f>VLOOKUP(Call_Center_Data[[#This Row],[Emp ID]], Employee[], 4, FALSE)</f>
        <v>Henry Rhodes</v>
      </c>
      <c r="L828" t="str">
        <f>VLOOKUP(Call_Center_Data[[#This Row],[Call Type ID]], Call_Type[], 2, FALSE)</f>
        <v>Sales</v>
      </c>
    </row>
    <row r="829" spans="1:12" x14ac:dyDescent="0.3">
      <c r="A829">
        <v>828</v>
      </c>
      <c r="B829">
        <v>1</v>
      </c>
      <c r="C829" s="1">
        <v>45422</v>
      </c>
      <c r="D829" s="2" t="s">
        <v>71</v>
      </c>
      <c r="E829">
        <v>1</v>
      </c>
      <c r="F829">
        <v>30</v>
      </c>
      <c r="G829">
        <v>166</v>
      </c>
      <c r="H829">
        <v>279</v>
      </c>
      <c r="I829" t="str">
        <f>VLOOKUP(Call_Center_Data[[#This Row],[Emp ID]],Employee[],2,FALSE)</f>
        <v>Sam Pat</v>
      </c>
      <c r="J829" t="str">
        <f>VLOOKUP(Call_Center_Data[[#This Row],[Emp ID]], Employee[], 3, FALSE)</f>
        <v>Aurora, CO</v>
      </c>
      <c r="K829" t="str">
        <f>VLOOKUP(Call_Center_Data[[#This Row],[Emp ID]], Employee[], 4, FALSE)</f>
        <v>Henry Mack</v>
      </c>
      <c r="L829" t="str">
        <f>VLOOKUP(Call_Center_Data[[#This Row],[Call Type ID]], Call_Type[], 2, FALSE)</f>
        <v>Billing</v>
      </c>
    </row>
    <row r="830" spans="1:12" x14ac:dyDescent="0.3">
      <c r="A830">
        <v>829</v>
      </c>
      <c r="B830">
        <v>1</v>
      </c>
      <c r="C830" s="1">
        <v>45423</v>
      </c>
      <c r="D830" s="2" t="s">
        <v>78</v>
      </c>
      <c r="E830">
        <v>0</v>
      </c>
      <c r="F830">
        <v>24</v>
      </c>
      <c r="G830">
        <v>191</v>
      </c>
      <c r="H830">
        <v>170</v>
      </c>
      <c r="I830" t="str">
        <f>VLOOKUP(Call_Center_Data[[#This Row],[Emp ID]],Employee[],2,FALSE)</f>
        <v>Jill Saab</v>
      </c>
      <c r="J830" t="str">
        <f>VLOOKUP(Call_Center_Data[[#This Row],[Emp ID]], Employee[], 3, FALSE)</f>
        <v>Spokane, WA</v>
      </c>
      <c r="K830" t="str">
        <f>VLOOKUP(Call_Center_Data[[#This Row],[Emp ID]], Employee[], 4, FALSE)</f>
        <v>Timmy Gill</v>
      </c>
      <c r="L830" t="str">
        <f>VLOOKUP(Call_Center_Data[[#This Row],[Call Type ID]], Call_Type[], 2, FALSE)</f>
        <v>Billing</v>
      </c>
    </row>
    <row r="831" spans="1:12" x14ac:dyDescent="0.3">
      <c r="A831">
        <v>830</v>
      </c>
      <c r="B831">
        <v>3</v>
      </c>
      <c r="C831" s="1">
        <v>45424</v>
      </c>
      <c r="D831" s="2" t="s">
        <v>77</v>
      </c>
      <c r="E831">
        <v>0</v>
      </c>
      <c r="F831">
        <v>20</v>
      </c>
      <c r="G831">
        <v>178</v>
      </c>
      <c r="H831">
        <v>139</v>
      </c>
      <c r="I831" t="str">
        <f>VLOOKUP(Call_Center_Data[[#This Row],[Emp ID]],Employee[],2,FALSE)</f>
        <v>Sam Saab</v>
      </c>
      <c r="J831" t="str">
        <f>VLOOKUP(Call_Center_Data[[#This Row],[Emp ID]], Employee[], 3, FALSE)</f>
        <v>Aurora, CO</v>
      </c>
      <c r="K831" t="str">
        <f>VLOOKUP(Call_Center_Data[[#This Row],[Emp ID]], Employee[], 4, FALSE)</f>
        <v>Timmy Mack</v>
      </c>
      <c r="L831" t="str">
        <f>VLOOKUP(Call_Center_Data[[#This Row],[Call Type ID]], Call_Type[], 2, FALSE)</f>
        <v>Tech Sup</v>
      </c>
    </row>
    <row r="832" spans="1:12" x14ac:dyDescent="0.3">
      <c r="A832">
        <v>831</v>
      </c>
      <c r="B832">
        <v>2</v>
      </c>
      <c r="C832" s="1">
        <v>45425</v>
      </c>
      <c r="D832" s="2" t="s">
        <v>77</v>
      </c>
      <c r="E832">
        <v>1</v>
      </c>
      <c r="F832">
        <v>21</v>
      </c>
      <c r="G832">
        <v>171</v>
      </c>
      <c r="H832">
        <v>172</v>
      </c>
      <c r="I832" t="str">
        <f>VLOOKUP(Call_Center_Data[[#This Row],[Emp ID]],Employee[],2,FALSE)</f>
        <v>Sam Saab</v>
      </c>
      <c r="J832" t="str">
        <f>VLOOKUP(Call_Center_Data[[#This Row],[Emp ID]], Employee[], 3, FALSE)</f>
        <v>Aurora, CO</v>
      </c>
      <c r="K832" t="str">
        <f>VLOOKUP(Call_Center_Data[[#This Row],[Emp ID]], Employee[], 4, FALSE)</f>
        <v>Timmy Mack</v>
      </c>
      <c r="L832" t="str">
        <f>VLOOKUP(Call_Center_Data[[#This Row],[Call Type ID]], Call_Type[], 2, FALSE)</f>
        <v>Sales</v>
      </c>
    </row>
    <row r="833" spans="1:12" x14ac:dyDescent="0.3">
      <c r="A833">
        <v>832</v>
      </c>
      <c r="B833">
        <v>1</v>
      </c>
      <c r="C833" s="1">
        <v>45426</v>
      </c>
      <c r="D833" s="2" t="s">
        <v>76</v>
      </c>
      <c r="E833">
        <v>1</v>
      </c>
      <c r="F833">
        <v>32</v>
      </c>
      <c r="G833">
        <v>187</v>
      </c>
      <c r="H833">
        <v>186</v>
      </c>
      <c r="I833" t="str">
        <f>VLOOKUP(Call_Center_Data[[#This Row],[Emp ID]],Employee[],2,FALSE)</f>
        <v>Ultor Saab</v>
      </c>
      <c r="J833" t="str">
        <f>VLOOKUP(Call_Center_Data[[#This Row],[Emp ID]], Employee[], 3, FALSE)</f>
        <v>Aurora, CO</v>
      </c>
      <c r="K833" t="str">
        <f>VLOOKUP(Call_Center_Data[[#This Row],[Emp ID]], Employee[], 4, FALSE)</f>
        <v>Pierce Baas</v>
      </c>
      <c r="L833" t="str">
        <f>VLOOKUP(Call_Center_Data[[#This Row],[Call Type ID]], Call_Type[], 2, FALSE)</f>
        <v>Billing</v>
      </c>
    </row>
    <row r="834" spans="1:12" x14ac:dyDescent="0.3">
      <c r="A834">
        <v>833</v>
      </c>
      <c r="B834">
        <v>1</v>
      </c>
      <c r="C834" s="1">
        <v>45427</v>
      </c>
      <c r="D834" s="2" t="s">
        <v>88</v>
      </c>
      <c r="E834">
        <v>0</v>
      </c>
      <c r="F834">
        <v>29</v>
      </c>
      <c r="G834">
        <v>190</v>
      </c>
      <c r="H834">
        <v>202</v>
      </c>
      <c r="I834" t="str">
        <f>VLOOKUP(Call_Center_Data[[#This Row],[Emp ID]],Employee[],2,FALSE)</f>
        <v>Gina Gilder</v>
      </c>
      <c r="J834" t="str">
        <f>VLOOKUP(Call_Center_Data[[#This Row],[Emp ID]], Employee[], 3, FALSE)</f>
        <v>Jacksonville, WA</v>
      </c>
      <c r="K834" t="str">
        <f>VLOOKUP(Call_Center_Data[[#This Row],[Emp ID]], Employee[], 4, FALSE)</f>
        <v>Pierce Rhodes</v>
      </c>
      <c r="L834" t="str">
        <f>VLOOKUP(Call_Center_Data[[#This Row],[Call Type ID]], Call_Type[], 2, FALSE)</f>
        <v>Billing</v>
      </c>
    </row>
    <row r="835" spans="1:12" x14ac:dyDescent="0.3">
      <c r="A835">
        <v>834</v>
      </c>
      <c r="B835">
        <v>3</v>
      </c>
      <c r="C835" s="1">
        <v>45428</v>
      </c>
      <c r="D835" s="2" t="s">
        <v>65</v>
      </c>
      <c r="E835">
        <v>0</v>
      </c>
      <c r="F835">
        <v>36</v>
      </c>
      <c r="G835">
        <v>201</v>
      </c>
      <c r="H835">
        <v>310</v>
      </c>
      <c r="I835" t="str">
        <f>VLOOKUP(Call_Center_Data[[#This Row],[Emp ID]],Employee[],2,FALSE)</f>
        <v>Ultor John</v>
      </c>
      <c r="J835" t="str">
        <f>VLOOKUP(Call_Center_Data[[#This Row],[Emp ID]], Employee[], 3, FALSE)</f>
        <v>Spokane, WA</v>
      </c>
      <c r="K835" t="str">
        <f>VLOOKUP(Call_Center_Data[[#This Row],[Emp ID]], Employee[], 4, FALSE)</f>
        <v>John Mack</v>
      </c>
      <c r="L835" t="str">
        <f>VLOOKUP(Call_Center_Data[[#This Row],[Call Type ID]], Call_Type[], 2, FALSE)</f>
        <v>Tech Sup</v>
      </c>
    </row>
    <row r="836" spans="1:12" x14ac:dyDescent="0.3">
      <c r="A836">
        <v>835</v>
      </c>
      <c r="B836">
        <v>3</v>
      </c>
      <c r="C836" s="1">
        <v>45429</v>
      </c>
      <c r="D836" s="2" t="s">
        <v>66</v>
      </c>
      <c r="E836">
        <v>0</v>
      </c>
      <c r="F836">
        <v>91</v>
      </c>
      <c r="G836">
        <v>205</v>
      </c>
      <c r="H836">
        <v>995</v>
      </c>
      <c r="I836" t="str">
        <f>VLOOKUP(Call_Center_Data[[#This Row],[Emp ID]],Employee[],2,FALSE)</f>
        <v>Tina John</v>
      </c>
      <c r="J836" t="str">
        <f>VLOOKUP(Call_Center_Data[[#This Row],[Emp ID]], Employee[], 3, FALSE)</f>
        <v>Aurora, CO</v>
      </c>
      <c r="K836" t="str">
        <f>VLOOKUP(Call_Center_Data[[#This Row],[Emp ID]], Employee[], 4, FALSE)</f>
        <v>Timmy Rhodes</v>
      </c>
      <c r="L836" t="str">
        <f>VLOOKUP(Call_Center_Data[[#This Row],[Call Type ID]], Call_Type[], 2, FALSE)</f>
        <v>Tech Sup</v>
      </c>
    </row>
    <row r="837" spans="1:12" x14ac:dyDescent="0.3">
      <c r="A837">
        <v>836</v>
      </c>
      <c r="B837">
        <v>2</v>
      </c>
      <c r="C837" s="1">
        <v>45430</v>
      </c>
      <c r="D837" s="2" t="s">
        <v>70</v>
      </c>
      <c r="E837">
        <v>0</v>
      </c>
      <c r="F837">
        <v>120</v>
      </c>
      <c r="G837">
        <v>206</v>
      </c>
      <c r="H837">
        <v>985</v>
      </c>
      <c r="I837" t="str">
        <f>VLOOKUP(Call_Center_Data[[#This Row],[Emp ID]],Employee[],2,FALSE)</f>
        <v>Jill Pat</v>
      </c>
      <c r="J837" t="str">
        <f>VLOOKUP(Call_Center_Data[[#This Row],[Emp ID]], Employee[], 3, FALSE)</f>
        <v>Aurora, CO</v>
      </c>
      <c r="K837" t="str">
        <f>VLOOKUP(Call_Center_Data[[#This Row],[Emp ID]], Employee[], 4, FALSE)</f>
        <v>Henry Rhodes</v>
      </c>
      <c r="L837" t="str">
        <f>VLOOKUP(Call_Center_Data[[#This Row],[Call Type ID]], Call_Type[], 2, FALSE)</f>
        <v>Sales</v>
      </c>
    </row>
    <row r="838" spans="1:12" x14ac:dyDescent="0.3">
      <c r="A838">
        <v>837</v>
      </c>
      <c r="B838">
        <v>3</v>
      </c>
      <c r="C838" s="1">
        <v>45431</v>
      </c>
      <c r="D838" s="2" t="s">
        <v>75</v>
      </c>
      <c r="E838">
        <v>0</v>
      </c>
      <c r="F838">
        <v>104</v>
      </c>
      <c r="G838">
        <v>153</v>
      </c>
      <c r="H838">
        <v>744</v>
      </c>
      <c r="I838" t="str">
        <f>VLOOKUP(Call_Center_Data[[#This Row],[Emp ID]],Employee[],2,FALSE)</f>
        <v>Gina Pat</v>
      </c>
      <c r="J838" t="str">
        <f>VLOOKUP(Call_Center_Data[[#This Row],[Emp ID]], Employee[], 3, FALSE)</f>
        <v>Spokane, WA</v>
      </c>
      <c r="K838" t="str">
        <f>VLOOKUP(Call_Center_Data[[#This Row],[Emp ID]], Employee[], 4, FALSE)</f>
        <v>Henry Hall</v>
      </c>
      <c r="L838" t="str">
        <f>VLOOKUP(Call_Center_Data[[#This Row],[Call Type ID]], Call_Type[], 2, FALSE)</f>
        <v>Tech Sup</v>
      </c>
    </row>
    <row r="839" spans="1:12" x14ac:dyDescent="0.3">
      <c r="A839">
        <v>838</v>
      </c>
      <c r="B839">
        <v>2</v>
      </c>
      <c r="C839" s="1">
        <v>45432</v>
      </c>
      <c r="D839" s="2" t="s">
        <v>72</v>
      </c>
      <c r="E839">
        <v>1</v>
      </c>
      <c r="F839">
        <v>162</v>
      </c>
      <c r="G839">
        <v>193</v>
      </c>
      <c r="H839">
        <v>994</v>
      </c>
      <c r="I839" t="str">
        <f>VLOOKUP(Call_Center_Data[[#This Row],[Emp ID]],Employee[],2,FALSE)</f>
        <v>Ultor Pat</v>
      </c>
      <c r="J839" t="str">
        <f>VLOOKUP(Call_Center_Data[[#This Row],[Emp ID]], Employee[], 3, FALSE)</f>
        <v>Jacksonville, WA</v>
      </c>
      <c r="K839" t="str">
        <f>VLOOKUP(Call_Center_Data[[#This Row],[Emp ID]], Employee[], 4, FALSE)</f>
        <v>Jenny Hall</v>
      </c>
      <c r="L839" t="str">
        <f>VLOOKUP(Call_Center_Data[[#This Row],[Call Type ID]], Call_Type[], 2, FALSE)</f>
        <v>Sales</v>
      </c>
    </row>
    <row r="840" spans="1:12" x14ac:dyDescent="0.3">
      <c r="A840">
        <v>839</v>
      </c>
      <c r="B840">
        <v>2</v>
      </c>
      <c r="C840" s="1">
        <v>45433</v>
      </c>
      <c r="D840" s="2" t="s">
        <v>86</v>
      </c>
      <c r="E840">
        <v>0</v>
      </c>
      <c r="F840">
        <v>92</v>
      </c>
      <c r="G840">
        <v>153</v>
      </c>
      <c r="H840">
        <v>1365</v>
      </c>
      <c r="I840" t="str">
        <f>VLOOKUP(Call_Center_Data[[#This Row],[Emp ID]],Employee[],2,FALSE)</f>
        <v>Jill Gilder</v>
      </c>
      <c r="J840" t="str">
        <f>VLOOKUP(Call_Center_Data[[#This Row],[Emp ID]], Employee[], 3, FALSE)</f>
        <v>Aurora, CO</v>
      </c>
      <c r="K840" t="str">
        <f>VLOOKUP(Call_Center_Data[[#This Row],[Emp ID]], Employee[], 4, FALSE)</f>
        <v>Jenny Baas</v>
      </c>
      <c r="L840" t="str">
        <f>VLOOKUP(Call_Center_Data[[#This Row],[Call Type ID]], Call_Type[], 2, FALSE)</f>
        <v>Sales</v>
      </c>
    </row>
    <row r="841" spans="1:12" x14ac:dyDescent="0.3">
      <c r="A841">
        <v>840</v>
      </c>
      <c r="B841">
        <v>3</v>
      </c>
      <c r="C841" s="1">
        <v>45434</v>
      </c>
      <c r="D841" s="2" t="s">
        <v>85</v>
      </c>
      <c r="E841">
        <v>0</v>
      </c>
      <c r="F841">
        <v>106</v>
      </c>
      <c r="G841">
        <v>190</v>
      </c>
      <c r="H841">
        <v>953</v>
      </c>
      <c r="I841" t="str">
        <f>VLOOKUP(Call_Center_Data[[#This Row],[Emp ID]],Employee[],2,FALSE)</f>
        <v>Tina Gilder</v>
      </c>
      <c r="J841" t="str">
        <f>VLOOKUP(Call_Center_Data[[#This Row],[Emp ID]], Employee[], 3, FALSE)</f>
        <v>Spokane, WA</v>
      </c>
      <c r="K841" t="str">
        <f>VLOOKUP(Call_Center_Data[[#This Row],[Emp ID]], Employee[], 4, FALSE)</f>
        <v>Timmy Baas</v>
      </c>
      <c r="L841" t="str">
        <f>VLOOKUP(Call_Center_Data[[#This Row],[Call Type ID]], Call_Type[], 2, FALSE)</f>
        <v>Tech Sup</v>
      </c>
    </row>
    <row r="842" spans="1:12" x14ac:dyDescent="0.3">
      <c r="A842">
        <v>841</v>
      </c>
      <c r="B842">
        <v>3</v>
      </c>
      <c r="C842" s="1">
        <v>45435</v>
      </c>
      <c r="D842" s="2" t="s">
        <v>85</v>
      </c>
      <c r="E842">
        <v>1</v>
      </c>
      <c r="F842">
        <v>168</v>
      </c>
      <c r="G842">
        <v>194</v>
      </c>
      <c r="H842">
        <v>804</v>
      </c>
      <c r="I842" t="str">
        <f>VLOOKUP(Call_Center_Data[[#This Row],[Emp ID]],Employee[],2,FALSE)</f>
        <v>Tina Gilder</v>
      </c>
      <c r="J842" t="str">
        <f>VLOOKUP(Call_Center_Data[[#This Row],[Emp ID]], Employee[], 3, FALSE)</f>
        <v>Spokane, WA</v>
      </c>
      <c r="K842" t="str">
        <f>VLOOKUP(Call_Center_Data[[#This Row],[Emp ID]], Employee[], 4, FALSE)</f>
        <v>Timmy Baas</v>
      </c>
      <c r="L842" t="str">
        <f>VLOOKUP(Call_Center_Data[[#This Row],[Call Type ID]], Call_Type[], 2, FALSE)</f>
        <v>Tech Sup</v>
      </c>
    </row>
    <row r="843" spans="1:12" x14ac:dyDescent="0.3">
      <c r="A843">
        <v>842</v>
      </c>
      <c r="B843">
        <v>1</v>
      </c>
      <c r="C843" s="1">
        <v>45436</v>
      </c>
      <c r="D843" s="2" t="s">
        <v>73</v>
      </c>
      <c r="E843">
        <v>1</v>
      </c>
      <c r="F843">
        <v>146</v>
      </c>
      <c r="G843">
        <v>198</v>
      </c>
      <c r="H843">
        <v>853</v>
      </c>
      <c r="I843" t="str">
        <f>VLOOKUP(Call_Center_Data[[#This Row],[Emp ID]],Employee[],2,FALSE)</f>
        <v>Jill John</v>
      </c>
      <c r="J843" t="str">
        <f>VLOOKUP(Call_Center_Data[[#This Row],[Emp ID]], Employee[], 3, FALSE)</f>
        <v>Spokane, WA</v>
      </c>
      <c r="K843" t="str">
        <f>VLOOKUP(Call_Center_Data[[#This Row],[Emp ID]], Employee[], 4, FALSE)</f>
        <v>John Gill</v>
      </c>
      <c r="L843" t="str">
        <f>VLOOKUP(Call_Center_Data[[#This Row],[Call Type ID]], Call_Type[], 2, FALSE)</f>
        <v>Billing</v>
      </c>
    </row>
    <row r="844" spans="1:12" x14ac:dyDescent="0.3">
      <c r="A844">
        <v>843</v>
      </c>
      <c r="B844">
        <v>3</v>
      </c>
      <c r="C844" s="1">
        <v>45437</v>
      </c>
      <c r="D844" s="2" t="s">
        <v>74</v>
      </c>
      <c r="E844">
        <v>1</v>
      </c>
      <c r="F844">
        <v>304</v>
      </c>
      <c r="G844">
        <v>219</v>
      </c>
      <c r="H844">
        <v>1357</v>
      </c>
      <c r="I844" t="str">
        <f>VLOOKUP(Call_Center_Data[[#This Row],[Emp ID]],Employee[],2,FALSE)</f>
        <v>Gina John</v>
      </c>
      <c r="J844" t="str">
        <f>VLOOKUP(Call_Center_Data[[#This Row],[Emp ID]], Employee[], 3, FALSE)</f>
        <v>Jacksonville, WA</v>
      </c>
      <c r="K844" t="str">
        <f>VLOOKUP(Call_Center_Data[[#This Row],[Emp ID]], Employee[], 4, FALSE)</f>
        <v>Henry Gill</v>
      </c>
      <c r="L844" t="str">
        <f>VLOOKUP(Call_Center_Data[[#This Row],[Call Type ID]], Call_Type[], 2, FALSE)</f>
        <v>Tech Sup</v>
      </c>
    </row>
    <row r="845" spans="1:12" x14ac:dyDescent="0.3">
      <c r="A845">
        <v>844</v>
      </c>
      <c r="B845">
        <v>3</v>
      </c>
      <c r="C845" s="1">
        <v>45438</v>
      </c>
      <c r="D845" s="2" t="s">
        <v>70</v>
      </c>
      <c r="E845">
        <v>0</v>
      </c>
      <c r="F845">
        <v>73</v>
      </c>
      <c r="G845">
        <v>203</v>
      </c>
      <c r="H845">
        <v>746</v>
      </c>
      <c r="I845" t="str">
        <f>VLOOKUP(Call_Center_Data[[#This Row],[Emp ID]],Employee[],2,FALSE)</f>
        <v>Jill Pat</v>
      </c>
      <c r="J845" t="str">
        <f>VLOOKUP(Call_Center_Data[[#This Row],[Emp ID]], Employee[], 3, FALSE)</f>
        <v>Aurora, CO</v>
      </c>
      <c r="K845" t="str">
        <f>VLOOKUP(Call_Center_Data[[#This Row],[Emp ID]], Employee[], 4, FALSE)</f>
        <v>Henry Rhodes</v>
      </c>
      <c r="L845" t="str">
        <f>VLOOKUP(Call_Center_Data[[#This Row],[Call Type ID]], Call_Type[], 2, FALSE)</f>
        <v>Tech Sup</v>
      </c>
    </row>
    <row r="846" spans="1:12" x14ac:dyDescent="0.3">
      <c r="A846">
        <v>845</v>
      </c>
      <c r="B846">
        <v>1</v>
      </c>
      <c r="C846" s="1">
        <v>45439</v>
      </c>
      <c r="D846" s="2" t="s">
        <v>64</v>
      </c>
      <c r="E846">
        <v>1</v>
      </c>
      <c r="F846">
        <v>53</v>
      </c>
      <c r="G846">
        <v>211</v>
      </c>
      <c r="H846">
        <v>497</v>
      </c>
      <c r="I846" t="str">
        <f>VLOOKUP(Call_Center_Data[[#This Row],[Emp ID]],Employee[],2,FALSE)</f>
        <v>Jill Simons</v>
      </c>
      <c r="J846" t="str">
        <f>VLOOKUP(Call_Center_Data[[#This Row],[Emp ID]], Employee[], 3, FALSE)</f>
        <v>Spokane, WA</v>
      </c>
      <c r="K846" t="str">
        <f>VLOOKUP(Call_Center_Data[[#This Row],[Emp ID]], Employee[], 4, FALSE)</f>
        <v>Jenny Rhodes</v>
      </c>
      <c r="L846" t="str">
        <f>VLOOKUP(Call_Center_Data[[#This Row],[Call Type ID]], Call_Type[], 2, FALSE)</f>
        <v>Billing</v>
      </c>
    </row>
    <row r="847" spans="1:12" x14ac:dyDescent="0.3">
      <c r="A847">
        <v>846</v>
      </c>
      <c r="B847">
        <v>3</v>
      </c>
      <c r="C847" s="1">
        <v>45440</v>
      </c>
      <c r="D847" s="2" t="s">
        <v>85</v>
      </c>
      <c r="E847">
        <v>0</v>
      </c>
      <c r="F847">
        <v>71</v>
      </c>
      <c r="G847">
        <v>190</v>
      </c>
      <c r="H847">
        <v>868</v>
      </c>
      <c r="I847" t="str">
        <f>VLOOKUP(Call_Center_Data[[#This Row],[Emp ID]],Employee[],2,FALSE)</f>
        <v>Tina Gilder</v>
      </c>
      <c r="J847" t="str">
        <f>VLOOKUP(Call_Center_Data[[#This Row],[Emp ID]], Employee[], 3, FALSE)</f>
        <v>Spokane, WA</v>
      </c>
      <c r="K847" t="str">
        <f>VLOOKUP(Call_Center_Data[[#This Row],[Emp ID]], Employee[], 4, FALSE)</f>
        <v>Timmy Baas</v>
      </c>
      <c r="L847" t="str">
        <f>VLOOKUP(Call_Center_Data[[#This Row],[Call Type ID]], Call_Type[], 2, FALSE)</f>
        <v>Tech Sup</v>
      </c>
    </row>
    <row r="848" spans="1:12" x14ac:dyDescent="0.3">
      <c r="A848">
        <v>847</v>
      </c>
      <c r="B848">
        <v>2</v>
      </c>
      <c r="C848" s="1">
        <v>45441</v>
      </c>
      <c r="D848" s="2" t="s">
        <v>80</v>
      </c>
      <c r="E848">
        <v>1</v>
      </c>
      <c r="F848">
        <v>54</v>
      </c>
      <c r="G848">
        <v>184</v>
      </c>
      <c r="H848">
        <v>485</v>
      </c>
      <c r="I848" t="str">
        <f>VLOOKUP(Call_Center_Data[[#This Row],[Emp ID]],Employee[],2,FALSE)</f>
        <v>Tina Simons</v>
      </c>
      <c r="J848" t="str">
        <f>VLOOKUP(Call_Center_Data[[#This Row],[Emp ID]], Employee[], 3, FALSE)</f>
        <v>Aurora, CO</v>
      </c>
      <c r="K848" t="str">
        <f>VLOOKUP(Call_Center_Data[[#This Row],[Emp ID]], Employee[], 4, FALSE)</f>
        <v>Pierce Gill</v>
      </c>
      <c r="L848" t="str">
        <f>VLOOKUP(Call_Center_Data[[#This Row],[Call Type ID]], Call_Type[], 2, FALSE)</f>
        <v>Sales</v>
      </c>
    </row>
    <row r="849" spans="1:12" x14ac:dyDescent="0.3">
      <c r="A849">
        <v>848</v>
      </c>
      <c r="B849">
        <v>1</v>
      </c>
      <c r="C849" s="1">
        <v>45442</v>
      </c>
      <c r="D849" s="2" t="s">
        <v>83</v>
      </c>
      <c r="E849">
        <v>0</v>
      </c>
      <c r="F849">
        <v>67</v>
      </c>
      <c r="G849">
        <v>205</v>
      </c>
      <c r="H849">
        <v>444</v>
      </c>
      <c r="I849" t="str">
        <f>VLOOKUP(Call_Center_Data[[#This Row],[Emp ID]],Employee[],2,FALSE)</f>
        <v>Ultor Simons</v>
      </c>
      <c r="J849" t="str">
        <f>VLOOKUP(Call_Center_Data[[#This Row],[Emp ID]], Employee[], 3, FALSE)</f>
        <v>Jacksonville, WA</v>
      </c>
      <c r="K849" t="str">
        <f>VLOOKUP(Call_Center_Data[[#This Row],[Emp ID]], Employee[], 4, FALSE)</f>
        <v>Pierce Hall</v>
      </c>
      <c r="L849" t="str">
        <f>VLOOKUP(Call_Center_Data[[#This Row],[Call Type ID]], Call_Type[], 2, FALSE)</f>
        <v>Billing</v>
      </c>
    </row>
    <row r="850" spans="1:12" x14ac:dyDescent="0.3">
      <c r="A850">
        <v>849</v>
      </c>
      <c r="B850">
        <v>1</v>
      </c>
      <c r="C850" s="1">
        <v>45443</v>
      </c>
      <c r="D850" s="2" t="s">
        <v>79</v>
      </c>
      <c r="E850">
        <v>0</v>
      </c>
      <c r="F850">
        <v>68</v>
      </c>
      <c r="G850">
        <v>198</v>
      </c>
      <c r="H850">
        <v>931</v>
      </c>
      <c r="I850" t="str">
        <f>VLOOKUP(Call_Center_Data[[#This Row],[Emp ID]],Employee[],2,FALSE)</f>
        <v>Gina Simons</v>
      </c>
      <c r="J850" t="str">
        <f>VLOOKUP(Call_Center_Data[[#This Row],[Emp ID]], Employee[], 3, FALSE)</f>
        <v>Spokane, WA</v>
      </c>
      <c r="K850" t="str">
        <f>VLOOKUP(Call_Center_Data[[#This Row],[Emp ID]], Employee[], 4, FALSE)</f>
        <v>John Rhodes</v>
      </c>
      <c r="L850" t="str">
        <f>VLOOKUP(Call_Center_Data[[#This Row],[Call Type ID]], Call_Type[], 2, FALSE)</f>
        <v>Billing</v>
      </c>
    </row>
    <row r="851" spans="1:12" x14ac:dyDescent="0.3">
      <c r="A851">
        <v>850</v>
      </c>
      <c r="B851">
        <v>2</v>
      </c>
      <c r="C851" s="1">
        <v>45444</v>
      </c>
      <c r="D851" s="2" t="s">
        <v>65</v>
      </c>
      <c r="E851">
        <v>0</v>
      </c>
      <c r="F851">
        <v>83</v>
      </c>
      <c r="G851">
        <v>184</v>
      </c>
      <c r="H851">
        <v>671</v>
      </c>
      <c r="I851" t="str">
        <f>VLOOKUP(Call_Center_Data[[#This Row],[Emp ID]],Employee[],2,FALSE)</f>
        <v>Ultor John</v>
      </c>
      <c r="J851" t="str">
        <f>VLOOKUP(Call_Center_Data[[#This Row],[Emp ID]], Employee[], 3, FALSE)</f>
        <v>Spokane, WA</v>
      </c>
      <c r="K851" t="str">
        <f>VLOOKUP(Call_Center_Data[[#This Row],[Emp ID]], Employee[], 4, FALSE)</f>
        <v>John Mack</v>
      </c>
      <c r="L851" t="str">
        <f>VLOOKUP(Call_Center_Data[[#This Row],[Call Type ID]], Call_Type[], 2, FALSE)</f>
        <v>Sales</v>
      </c>
    </row>
    <row r="852" spans="1:12" x14ac:dyDescent="0.3">
      <c r="A852">
        <v>851</v>
      </c>
      <c r="B852">
        <v>1</v>
      </c>
      <c r="C852" s="1">
        <v>45445</v>
      </c>
      <c r="D852" s="2" t="s">
        <v>85</v>
      </c>
      <c r="E852">
        <v>1</v>
      </c>
      <c r="F852">
        <v>91</v>
      </c>
      <c r="G852">
        <v>192</v>
      </c>
      <c r="H852">
        <v>629</v>
      </c>
      <c r="I852" t="str">
        <f>VLOOKUP(Call_Center_Data[[#This Row],[Emp ID]],Employee[],2,FALSE)</f>
        <v>Tina Gilder</v>
      </c>
      <c r="J852" t="str">
        <f>VLOOKUP(Call_Center_Data[[#This Row],[Emp ID]], Employee[], 3, FALSE)</f>
        <v>Spokane, WA</v>
      </c>
      <c r="K852" t="str">
        <f>VLOOKUP(Call_Center_Data[[#This Row],[Emp ID]], Employee[], 4, FALSE)</f>
        <v>Timmy Baas</v>
      </c>
      <c r="L852" t="str">
        <f>VLOOKUP(Call_Center_Data[[#This Row],[Call Type ID]], Call_Type[], 2, FALSE)</f>
        <v>Billing</v>
      </c>
    </row>
    <row r="853" spans="1:12" x14ac:dyDescent="0.3">
      <c r="A853">
        <v>852</v>
      </c>
      <c r="B853">
        <v>3</v>
      </c>
      <c r="C853" s="1">
        <v>45446</v>
      </c>
      <c r="D853" s="2" t="s">
        <v>77</v>
      </c>
      <c r="E853">
        <v>1</v>
      </c>
      <c r="F853">
        <v>34</v>
      </c>
      <c r="G853">
        <v>201</v>
      </c>
      <c r="H853">
        <v>253</v>
      </c>
      <c r="I853" t="str">
        <f>VLOOKUP(Call_Center_Data[[#This Row],[Emp ID]],Employee[],2,FALSE)</f>
        <v>Sam Saab</v>
      </c>
      <c r="J853" t="str">
        <f>VLOOKUP(Call_Center_Data[[#This Row],[Emp ID]], Employee[], 3, FALSE)</f>
        <v>Aurora, CO</v>
      </c>
      <c r="K853" t="str">
        <f>VLOOKUP(Call_Center_Data[[#This Row],[Emp ID]], Employee[], 4, FALSE)</f>
        <v>Timmy Mack</v>
      </c>
      <c r="L853" t="str">
        <f>VLOOKUP(Call_Center_Data[[#This Row],[Call Type ID]], Call_Type[], 2, FALSE)</f>
        <v>Tech Sup</v>
      </c>
    </row>
    <row r="854" spans="1:12" x14ac:dyDescent="0.3">
      <c r="A854">
        <v>853</v>
      </c>
      <c r="B854">
        <v>3</v>
      </c>
      <c r="C854" s="1">
        <v>45447</v>
      </c>
      <c r="D854" s="2" t="s">
        <v>83</v>
      </c>
      <c r="E854">
        <v>1</v>
      </c>
      <c r="F854">
        <v>41</v>
      </c>
      <c r="G854">
        <v>181</v>
      </c>
      <c r="H854">
        <v>661</v>
      </c>
      <c r="I854" t="str">
        <f>VLOOKUP(Call_Center_Data[[#This Row],[Emp ID]],Employee[],2,FALSE)</f>
        <v>Ultor Simons</v>
      </c>
      <c r="J854" t="str">
        <f>VLOOKUP(Call_Center_Data[[#This Row],[Emp ID]], Employee[], 3, FALSE)</f>
        <v>Jacksonville, WA</v>
      </c>
      <c r="K854" t="str">
        <f>VLOOKUP(Call_Center_Data[[#This Row],[Emp ID]], Employee[], 4, FALSE)</f>
        <v>Pierce Hall</v>
      </c>
      <c r="L854" t="str">
        <f>VLOOKUP(Call_Center_Data[[#This Row],[Call Type ID]], Call_Type[], 2, FALSE)</f>
        <v>Tech Sup</v>
      </c>
    </row>
    <row r="855" spans="1:12" x14ac:dyDescent="0.3">
      <c r="A855">
        <v>854</v>
      </c>
      <c r="B855">
        <v>1</v>
      </c>
      <c r="C855" s="1">
        <v>45448</v>
      </c>
      <c r="D855" s="2" t="s">
        <v>79</v>
      </c>
      <c r="E855">
        <v>1</v>
      </c>
      <c r="F855">
        <v>51</v>
      </c>
      <c r="G855">
        <v>187</v>
      </c>
      <c r="H855">
        <v>708</v>
      </c>
      <c r="I855" t="str">
        <f>VLOOKUP(Call_Center_Data[[#This Row],[Emp ID]],Employee[],2,FALSE)</f>
        <v>Gina Simons</v>
      </c>
      <c r="J855" t="str">
        <f>VLOOKUP(Call_Center_Data[[#This Row],[Emp ID]], Employee[], 3, FALSE)</f>
        <v>Spokane, WA</v>
      </c>
      <c r="K855" t="str">
        <f>VLOOKUP(Call_Center_Data[[#This Row],[Emp ID]], Employee[], 4, FALSE)</f>
        <v>John Rhodes</v>
      </c>
      <c r="L855" t="str">
        <f>VLOOKUP(Call_Center_Data[[#This Row],[Call Type ID]], Call_Type[], 2, FALSE)</f>
        <v>Billing</v>
      </c>
    </row>
    <row r="856" spans="1:12" x14ac:dyDescent="0.3">
      <c r="A856">
        <v>855</v>
      </c>
      <c r="B856">
        <v>2</v>
      </c>
      <c r="C856" s="1">
        <v>45449</v>
      </c>
      <c r="D856" s="2" t="s">
        <v>70</v>
      </c>
      <c r="E856">
        <v>0</v>
      </c>
      <c r="F856">
        <v>50</v>
      </c>
      <c r="G856">
        <v>197</v>
      </c>
      <c r="H856">
        <v>1304</v>
      </c>
      <c r="I856" t="str">
        <f>VLOOKUP(Call_Center_Data[[#This Row],[Emp ID]],Employee[],2,FALSE)</f>
        <v>Jill Pat</v>
      </c>
      <c r="J856" t="str">
        <f>VLOOKUP(Call_Center_Data[[#This Row],[Emp ID]], Employee[], 3, FALSE)</f>
        <v>Aurora, CO</v>
      </c>
      <c r="K856" t="str">
        <f>VLOOKUP(Call_Center_Data[[#This Row],[Emp ID]], Employee[], 4, FALSE)</f>
        <v>Henry Rhodes</v>
      </c>
      <c r="L856" t="str">
        <f>VLOOKUP(Call_Center_Data[[#This Row],[Call Type ID]], Call_Type[], 2, FALSE)</f>
        <v>Sales</v>
      </c>
    </row>
    <row r="857" spans="1:12" x14ac:dyDescent="0.3">
      <c r="A857">
        <v>856</v>
      </c>
      <c r="B857">
        <v>3</v>
      </c>
      <c r="C857" s="1">
        <v>45450</v>
      </c>
      <c r="D857" s="2" t="s">
        <v>86</v>
      </c>
      <c r="E857">
        <v>1</v>
      </c>
      <c r="F857">
        <v>71</v>
      </c>
      <c r="G857">
        <v>197</v>
      </c>
      <c r="H857">
        <v>530</v>
      </c>
      <c r="I857" t="str">
        <f>VLOOKUP(Call_Center_Data[[#This Row],[Emp ID]],Employee[],2,FALSE)</f>
        <v>Jill Gilder</v>
      </c>
      <c r="J857" t="str">
        <f>VLOOKUP(Call_Center_Data[[#This Row],[Emp ID]], Employee[], 3, FALSE)</f>
        <v>Aurora, CO</v>
      </c>
      <c r="K857" t="str">
        <f>VLOOKUP(Call_Center_Data[[#This Row],[Emp ID]], Employee[], 4, FALSE)</f>
        <v>Jenny Baas</v>
      </c>
      <c r="L857" t="str">
        <f>VLOOKUP(Call_Center_Data[[#This Row],[Call Type ID]], Call_Type[], 2, FALSE)</f>
        <v>Tech Sup</v>
      </c>
    </row>
    <row r="858" spans="1:12" x14ac:dyDescent="0.3">
      <c r="A858">
        <v>857</v>
      </c>
      <c r="B858">
        <v>3</v>
      </c>
      <c r="C858" s="1">
        <v>45451</v>
      </c>
      <c r="D858" s="2" t="s">
        <v>68</v>
      </c>
      <c r="E858">
        <v>1</v>
      </c>
      <c r="F858">
        <v>40</v>
      </c>
      <c r="G858">
        <v>178</v>
      </c>
      <c r="H858">
        <v>421</v>
      </c>
      <c r="I858" t="str">
        <f>VLOOKUP(Call_Center_Data[[#This Row],[Emp ID]],Employee[],2,FALSE)</f>
        <v>Tina Saab</v>
      </c>
      <c r="J858" t="str">
        <f>VLOOKUP(Call_Center_Data[[#This Row],[Emp ID]], Employee[], 3, FALSE)</f>
        <v>Spokane, WA</v>
      </c>
      <c r="K858" t="str">
        <f>VLOOKUP(Call_Center_Data[[#This Row],[Emp ID]], Employee[], 4, FALSE)</f>
        <v>Henry Baas</v>
      </c>
      <c r="L858" t="str">
        <f>VLOOKUP(Call_Center_Data[[#This Row],[Call Type ID]], Call_Type[], 2, FALSE)</f>
        <v>Tech Sup</v>
      </c>
    </row>
    <row r="859" spans="1:12" x14ac:dyDescent="0.3">
      <c r="A859">
        <v>858</v>
      </c>
      <c r="B859">
        <v>3</v>
      </c>
      <c r="C859" s="1">
        <v>45452</v>
      </c>
      <c r="D859" s="2" t="s">
        <v>64</v>
      </c>
      <c r="E859">
        <v>1</v>
      </c>
      <c r="F859">
        <v>62</v>
      </c>
      <c r="G859">
        <v>196</v>
      </c>
      <c r="H859">
        <v>496</v>
      </c>
      <c r="I859" t="str">
        <f>VLOOKUP(Call_Center_Data[[#This Row],[Emp ID]],Employee[],2,FALSE)</f>
        <v>Jill Simons</v>
      </c>
      <c r="J859" t="str">
        <f>VLOOKUP(Call_Center_Data[[#This Row],[Emp ID]], Employee[], 3, FALSE)</f>
        <v>Spokane, WA</v>
      </c>
      <c r="K859" t="str">
        <f>VLOOKUP(Call_Center_Data[[#This Row],[Emp ID]], Employee[], 4, FALSE)</f>
        <v>Jenny Rhodes</v>
      </c>
      <c r="L859" t="str">
        <f>VLOOKUP(Call_Center_Data[[#This Row],[Call Type ID]], Call_Type[], 2, FALSE)</f>
        <v>Tech Sup</v>
      </c>
    </row>
    <row r="860" spans="1:12" x14ac:dyDescent="0.3">
      <c r="A860">
        <v>859</v>
      </c>
      <c r="B860">
        <v>3</v>
      </c>
      <c r="C860" s="1">
        <v>45453</v>
      </c>
      <c r="D860" s="2" t="s">
        <v>76</v>
      </c>
      <c r="E860">
        <v>0</v>
      </c>
      <c r="F860">
        <v>29</v>
      </c>
      <c r="G860">
        <v>184</v>
      </c>
      <c r="H860">
        <v>186</v>
      </c>
      <c r="I860" t="str">
        <f>VLOOKUP(Call_Center_Data[[#This Row],[Emp ID]],Employee[],2,FALSE)</f>
        <v>Ultor Saab</v>
      </c>
      <c r="J860" t="str">
        <f>VLOOKUP(Call_Center_Data[[#This Row],[Emp ID]], Employee[], 3, FALSE)</f>
        <v>Aurora, CO</v>
      </c>
      <c r="K860" t="str">
        <f>VLOOKUP(Call_Center_Data[[#This Row],[Emp ID]], Employee[], 4, FALSE)</f>
        <v>Pierce Baas</v>
      </c>
      <c r="L860" t="str">
        <f>VLOOKUP(Call_Center_Data[[#This Row],[Call Type ID]], Call_Type[], 2, FALSE)</f>
        <v>Tech Sup</v>
      </c>
    </row>
    <row r="861" spans="1:12" x14ac:dyDescent="0.3">
      <c r="A861">
        <v>860</v>
      </c>
      <c r="B861">
        <v>1</v>
      </c>
      <c r="C861" s="1">
        <v>45454</v>
      </c>
      <c r="D861" s="2" t="s">
        <v>64</v>
      </c>
      <c r="E861">
        <v>1</v>
      </c>
      <c r="F861">
        <v>40</v>
      </c>
      <c r="G861">
        <v>178</v>
      </c>
      <c r="H861">
        <v>211</v>
      </c>
      <c r="I861" t="str">
        <f>VLOOKUP(Call_Center_Data[[#This Row],[Emp ID]],Employee[],2,FALSE)</f>
        <v>Jill Simons</v>
      </c>
      <c r="J861" t="str">
        <f>VLOOKUP(Call_Center_Data[[#This Row],[Emp ID]], Employee[], 3, FALSE)</f>
        <v>Spokane, WA</v>
      </c>
      <c r="K861" t="str">
        <f>VLOOKUP(Call_Center_Data[[#This Row],[Emp ID]], Employee[], 4, FALSE)</f>
        <v>Jenny Rhodes</v>
      </c>
      <c r="L861" t="str">
        <f>VLOOKUP(Call_Center_Data[[#This Row],[Call Type ID]], Call_Type[], 2, FALSE)</f>
        <v>Billing</v>
      </c>
    </row>
    <row r="862" spans="1:12" x14ac:dyDescent="0.3">
      <c r="A862">
        <v>861</v>
      </c>
      <c r="B862">
        <v>1</v>
      </c>
      <c r="C862" s="1">
        <v>45455</v>
      </c>
      <c r="D862" s="2" t="s">
        <v>80</v>
      </c>
      <c r="E862">
        <v>0</v>
      </c>
      <c r="F862">
        <v>30</v>
      </c>
      <c r="G862">
        <v>179</v>
      </c>
      <c r="H862">
        <v>182</v>
      </c>
      <c r="I862" t="str">
        <f>VLOOKUP(Call_Center_Data[[#This Row],[Emp ID]],Employee[],2,FALSE)</f>
        <v>Tina Simons</v>
      </c>
      <c r="J862" t="str">
        <f>VLOOKUP(Call_Center_Data[[#This Row],[Emp ID]], Employee[], 3, FALSE)</f>
        <v>Aurora, CO</v>
      </c>
      <c r="K862" t="str">
        <f>VLOOKUP(Call_Center_Data[[#This Row],[Emp ID]], Employee[], 4, FALSE)</f>
        <v>Pierce Gill</v>
      </c>
      <c r="L862" t="str">
        <f>VLOOKUP(Call_Center_Data[[#This Row],[Call Type ID]], Call_Type[], 2, FALSE)</f>
        <v>Billing</v>
      </c>
    </row>
    <row r="863" spans="1:12" x14ac:dyDescent="0.3">
      <c r="A863">
        <v>862</v>
      </c>
      <c r="B863">
        <v>3</v>
      </c>
      <c r="C863" s="1">
        <v>45456</v>
      </c>
      <c r="D863" s="2" t="s">
        <v>74</v>
      </c>
      <c r="E863">
        <v>0</v>
      </c>
      <c r="F863">
        <v>40</v>
      </c>
      <c r="G863">
        <v>176</v>
      </c>
      <c r="H863">
        <v>414</v>
      </c>
      <c r="I863" t="str">
        <f>VLOOKUP(Call_Center_Data[[#This Row],[Emp ID]],Employee[],2,FALSE)</f>
        <v>Gina John</v>
      </c>
      <c r="J863" t="str">
        <f>VLOOKUP(Call_Center_Data[[#This Row],[Emp ID]], Employee[], 3, FALSE)</f>
        <v>Jacksonville, WA</v>
      </c>
      <c r="K863" t="str">
        <f>VLOOKUP(Call_Center_Data[[#This Row],[Emp ID]], Employee[], 4, FALSE)</f>
        <v>Henry Gill</v>
      </c>
      <c r="L863" t="str">
        <f>VLOOKUP(Call_Center_Data[[#This Row],[Call Type ID]], Call_Type[], 2, FALSE)</f>
        <v>Tech Sup</v>
      </c>
    </row>
    <row r="864" spans="1:12" x14ac:dyDescent="0.3">
      <c r="A864">
        <v>863</v>
      </c>
      <c r="B864">
        <v>2</v>
      </c>
      <c r="C864" s="1">
        <v>45457</v>
      </c>
      <c r="D864" s="2" t="s">
        <v>70</v>
      </c>
      <c r="E864">
        <v>1</v>
      </c>
      <c r="F864">
        <v>16</v>
      </c>
      <c r="G864">
        <v>174</v>
      </c>
      <c r="H864">
        <v>249</v>
      </c>
      <c r="I864" t="str">
        <f>VLOOKUP(Call_Center_Data[[#This Row],[Emp ID]],Employee[],2,FALSE)</f>
        <v>Jill Pat</v>
      </c>
      <c r="J864" t="str">
        <f>VLOOKUP(Call_Center_Data[[#This Row],[Emp ID]], Employee[], 3, FALSE)</f>
        <v>Aurora, CO</v>
      </c>
      <c r="K864" t="str">
        <f>VLOOKUP(Call_Center_Data[[#This Row],[Emp ID]], Employee[], 4, FALSE)</f>
        <v>Henry Rhodes</v>
      </c>
      <c r="L864" t="str">
        <f>VLOOKUP(Call_Center_Data[[#This Row],[Call Type ID]], Call_Type[], 2, FALSE)</f>
        <v>Sales</v>
      </c>
    </row>
    <row r="865" spans="1:12" x14ac:dyDescent="0.3">
      <c r="A865">
        <v>864</v>
      </c>
      <c r="B865">
        <v>3</v>
      </c>
      <c r="C865" s="1">
        <v>45458</v>
      </c>
      <c r="D865" s="2" t="s">
        <v>81</v>
      </c>
      <c r="E865">
        <v>0</v>
      </c>
      <c r="F865">
        <v>55</v>
      </c>
      <c r="G865">
        <v>211</v>
      </c>
      <c r="H865">
        <v>313</v>
      </c>
      <c r="I865" t="str">
        <f>VLOOKUP(Call_Center_Data[[#This Row],[Emp ID]],Employee[],2,FALSE)</f>
        <v>Sam Simons</v>
      </c>
      <c r="J865" t="str">
        <f>VLOOKUP(Call_Center_Data[[#This Row],[Emp ID]], Employee[], 3, FALSE)</f>
        <v>Jacksonville, WA</v>
      </c>
      <c r="K865" t="str">
        <f>VLOOKUP(Call_Center_Data[[#This Row],[Emp ID]], Employee[], 4, FALSE)</f>
        <v>John Baas</v>
      </c>
      <c r="L865" t="str">
        <f>VLOOKUP(Call_Center_Data[[#This Row],[Call Type ID]], Call_Type[], 2, FALSE)</f>
        <v>Tech Sup</v>
      </c>
    </row>
    <row r="866" spans="1:12" x14ac:dyDescent="0.3">
      <c r="A866">
        <v>865</v>
      </c>
      <c r="B866">
        <v>2</v>
      </c>
      <c r="C866" s="1">
        <v>45459</v>
      </c>
      <c r="D866" s="2" t="s">
        <v>81</v>
      </c>
      <c r="E866">
        <v>0</v>
      </c>
      <c r="F866">
        <v>30</v>
      </c>
      <c r="G866">
        <v>182</v>
      </c>
      <c r="H866">
        <v>594</v>
      </c>
      <c r="I866" t="str">
        <f>VLOOKUP(Call_Center_Data[[#This Row],[Emp ID]],Employee[],2,FALSE)</f>
        <v>Sam Simons</v>
      </c>
      <c r="J866" t="str">
        <f>VLOOKUP(Call_Center_Data[[#This Row],[Emp ID]], Employee[], 3, FALSE)</f>
        <v>Jacksonville, WA</v>
      </c>
      <c r="K866" t="str">
        <f>VLOOKUP(Call_Center_Data[[#This Row],[Emp ID]], Employee[], 4, FALSE)</f>
        <v>John Baas</v>
      </c>
      <c r="L866" t="str">
        <f>VLOOKUP(Call_Center_Data[[#This Row],[Call Type ID]], Call_Type[], 2, FALSE)</f>
        <v>Sales</v>
      </c>
    </row>
    <row r="867" spans="1:12" x14ac:dyDescent="0.3">
      <c r="A867">
        <v>866</v>
      </c>
      <c r="B867">
        <v>3</v>
      </c>
      <c r="C867" s="1">
        <v>45460</v>
      </c>
      <c r="D867" s="2" t="s">
        <v>68</v>
      </c>
      <c r="E867">
        <v>1</v>
      </c>
      <c r="F867">
        <v>12</v>
      </c>
      <c r="G867">
        <v>161</v>
      </c>
      <c r="H867">
        <v>157</v>
      </c>
      <c r="I867" t="str">
        <f>VLOOKUP(Call_Center_Data[[#This Row],[Emp ID]],Employee[],2,FALSE)</f>
        <v>Tina Saab</v>
      </c>
      <c r="J867" t="str">
        <f>VLOOKUP(Call_Center_Data[[#This Row],[Emp ID]], Employee[], 3, FALSE)</f>
        <v>Spokane, WA</v>
      </c>
      <c r="K867" t="str">
        <f>VLOOKUP(Call_Center_Data[[#This Row],[Emp ID]], Employee[], 4, FALSE)</f>
        <v>Henry Baas</v>
      </c>
      <c r="L867" t="str">
        <f>VLOOKUP(Call_Center_Data[[#This Row],[Call Type ID]], Call_Type[], 2, FALSE)</f>
        <v>Tech Sup</v>
      </c>
    </row>
    <row r="868" spans="1:12" x14ac:dyDescent="0.3">
      <c r="A868">
        <v>867</v>
      </c>
      <c r="B868">
        <v>2</v>
      </c>
      <c r="C868" s="1">
        <v>45461</v>
      </c>
      <c r="D868" s="2" t="s">
        <v>78</v>
      </c>
      <c r="E868">
        <v>0</v>
      </c>
      <c r="F868">
        <v>22</v>
      </c>
      <c r="G868">
        <v>173</v>
      </c>
      <c r="H868">
        <v>177</v>
      </c>
      <c r="I868" t="str">
        <f>VLOOKUP(Call_Center_Data[[#This Row],[Emp ID]],Employee[],2,FALSE)</f>
        <v>Jill Saab</v>
      </c>
      <c r="J868" t="str">
        <f>VLOOKUP(Call_Center_Data[[#This Row],[Emp ID]], Employee[], 3, FALSE)</f>
        <v>Spokane, WA</v>
      </c>
      <c r="K868" t="str">
        <f>VLOOKUP(Call_Center_Data[[#This Row],[Emp ID]], Employee[], 4, FALSE)</f>
        <v>Timmy Gill</v>
      </c>
      <c r="L868" t="str">
        <f>VLOOKUP(Call_Center_Data[[#This Row],[Call Type ID]], Call_Type[], 2, FALSE)</f>
        <v>Sales</v>
      </c>
    </row>
    <row r="869" spans="1:12" x14ac:dyDescent="0.3">
      <c r="A869">
        <v>868</v>
      </c>
      <c r="B869">
        <v>3</v>
      </c>
      <c r="C869" s="1">
        <v>45462</v>
      </c>
      <c r="D869" s="2" t="s">
        <v>78</v>
      </c>
      <c r="E869">
        <v>1</v>
      </c>
      <c r="F869">
        <v>18</v>
      </c>
      <c r="G869">
        <v>175</v>
      </c>
      <c r="H869">
        <v>251</v>
      </c>
      <c r="I869" t="str">
        <f>VLOOKUP(Call_Center_Data[[#This Row],[Emp ID]],Employee[],2,FALSE)</f>
        <v>Jill Saab</v>
      </c>
      <c r="J869" t="str">
        <f>VLOOKUP(Call_Center_Data[[#This Row],[Emp ID]], Employee[], 3, FALSE)</f>
        <v>Spokane, WA</v>
      </c>
      <c r="K869" t="str">
        <f>VLOOKUP(Call_Center_Data[[#This Row],[Emp ID]], Employee[], 4, FALSE)</f>
        <v>Timmy Gill</v>
      </c>
      <c r="L869" t="str">
        <f>VLOOKUP(Call_Center_Data[[#This Row],[Call Type ID]], Call_Type[], 2, FALSE)</f>
        <v>Tech Sup</v>
      </c>
    </row>
    <row r="870" spans="1:12" x14ac:dyDescent="0.3">
      <c r="A870">
        <v>869</v>
      </c>
      <c r="B870">
        <v>1</v>
      </c>
      <c r="C870" s="1">
        <v>45463</v>
      </c>
      <c r="D870" s="2" t="s">
        <v>65</v>
      </c>
      <c r="E870">
        <v>0</v>
      </c>
      <c r="F870">
        <v>48</v>
      </c>
      <c r="G870">
        <v>199</v>
      </c>
      <c r="H870">
        <v>342</v>
      </c>
      <c r="I870" t="str">
        <f>VLOOKUP(Call_Center_Data[[#This Row],[Emp ID]],Employee[],2,FALSE)</f>
        <v>Ultor John</v>
      </c>
      <c r="J870" t="str">
        <f>VLOOKUP(Call_Center_Data[[#This Row],[Emp ID]], Employee[], 3, FALSE)</f>
        <v>Spokane, WA</v>
      </c>
      <c r="K870" t="str">
        <f>VLOOKUP(Call_Center_Data[[#This Row],[Emp ID]], Employee[], 4, FALSE)</f>
        <v>John Mack</v>
      </c>
      <c r="L870" t="str">
        <f>VLOOKUP(Call_Center_Data[[#This Row],[Call Type ID]], Call_Type[], 2, FALSE)</f>
        <v>Billing</v>
      </c>
    </row>
    <row r="871" spans="1:12" x14ac:dyDescent="0.3">
      <c r="A871">
        <v>870</v>
      </c>
      <c r="B871">
        <v>1</v>
      </c>
      <c r="C871" s="1">
        <v>45464</v>
      </c>
      <c r="D871" s="2" t="s">
        <v>76</v>
      </c>
      <c r="E871">
        <v>1</v>
      </c>
      <c r="F871">
        <v>20</v>
      </c>
      <c r="G871">
        <v>186</v>
      </c>
      <c r="H871">
        <v>310</v>
      </c>
      <c r="I871" t="str">
        <f>VLOOKUP(Call_Center_Data[[#This Row],[Emp ID]],Employee[],2,FALSE)</f>
        <v>Ultor Saab</v>
      </c>
      <c r="J871" t="str">
        <f>VLOOKUP(Call_Center_Data[[#This Row],[Emp ID]], Employee[], 3, FALSE)</f>
        <v>Aurora, CO</v>
      </c>
      <c r="K871" t="str">
        <f>VLOOKUP(Call_Center_Data[[#This Row],[Emp ID]], Employee[], 4, FALSE)</f>
        <v>Pierce Baas</v>
      </c>
      <c r="L871" t="str">
        <f>VLOOKUP(Call_Center_Data[[#This Row],[Call Type ID]], Call_Type[], 2, FALSE)</f>
        <v>Billing</v>
      </c>
    </row>
    <row r="872" spans="1:12" x14ac:dyDescent="0.3">
      <c r="A872">
        <v>871</v>
      </c>
      <c r="B872">
        <v>3</v>
      </c>
      <c r="C872" s="1">
        <v>45465</v>
      </c>
      <c r="D872" s="2" t="s">
        <v>82</v>
      </c>
      <c r="E872">
        <v>0</v>
      </c>
      <c r="F872">
        <v>40</v>
      </c>
      <c r="G872">
        <v>178</v>
      </c>
      <c r="H872">
        <v>1491</v>
      </c>
      <c r="I872" t="str">
        <f>VLOOKUP(Call_Center_Data[[#This Row],[Emp ID]],Employee[],2,FALSE)</f>
        <v>Ultor Gilder</v>
      </c>
      <c r="J872" t="str">
        <f>VLOOKUP(Call_Center_Data[[#This Row],[Emp ID]], Employee[], 3, FALSE)</f>
        <v>Aurora, CO</v>
      </c>
      <c r="K872" t="str">
        <f>VLOOKUP(Call_Center_Data[[#This Row],[Emp ID]], Employee[], 4, FALSE)</f>
        <v>Pierce Mack</v>
      </c>
      <c r="L872" t="str">
        <f>VLOOKUP(Call_Center_Data[[#This Row],[Call Type ID]], Call_Type[], 2, FALSE)</f>
        <v>Tech Sup</v>
      </c>
    </row>
    <row r="873" spans="1:12" x14ac:dyDescent="0.3">
      <c r="A873">
        <v>872</v>
      </c>
      <c r="B873">
        <v>2</v>
      </c>
      <c r="C873" s="1">
        <v>45466</v>
      </c>
      <c r="D873" s="2" t="s">
        <v>65</v>
      </c>
      <c r="E873">
        <v>0</v>
      </c>
      <c r="F873">
        <v>26</v>
      </c>
      <c r="G873">
        <v>194</v>
      </c>
      <c r="H873">
        <v>234</v>
      </c>
      <c r="I873" t="str">
        <f>VLOOKUP(Call_Center_Data[[#This Row],[Emp ID]],Employee[],2,FALSE)</f>
        <v>Ultor John</v>
      </c>
      <c r="J873" t="str">
        <f>VLOOKUP(Call_Center_Data[[#This Row],[Emp ID]], Employee[], 3, FALSE)</f>
        <v>Spokane, WA</v>
      </c>
      <c r="K873" t="str">
        <f>VLOOKUP(Call_Center_Data[[#This Row],[Emp ID]], Employee[], 4, FALSE)</f>
        <v>John Mack</v>
      </c>
      <c r="L873" t="str">
        <f>VLOOKUP(Call_Center_Data[[#This Row],[Call Type ID]], Call_Type[], 2, FALSE)</f>
        <v>Sales</v>
      </c>
    </row>
    <row r="874" spans="1:12" x14ac:dyDescent="0.3">
      <c r="A874">
        <v>873</v>
      </c>
      <c r="B874">
        <v>3</v>
      </c>
      <c r="C874" s="1">
        <v>45467</v>
      </c>
      <c r="D874" s="2" t="s">
        <v>66</v>
      </c>
      <c r="E874">
        <v>0</v>
      </c>
      <c r="F874">
        <v>14</v>
      </c>
      <c r="G874">
        <v>150</v>
      </c>
      <c r="H874">
        <v>147</v>
      </c>
      <c r="I874" t="str">
        <f>VLOOKUP(Call_Center_Data[[#This Row],[Emp ID]],Employee[],2,FALSE)</f>
        <v>Tina John</v>
      </c>
      <c r="J874" t="str">
        <f>VLOOKUP(Call_Center_Data[[#This Row],[Emp ID]], Employee[], 3, FALSE)</f>
        <v>Aurora, CO</v>
      </c>
      <c r="K874" t="str">
        <f>VLOOKUP(Call_Center_Data[[#This Row],[Emp ID]], Employee[], 4, FALSE)</f>
        <v>Timmy Rhodes</v>
      </c>
      <c r="L874" t="str">
        <f>VLOOKUP(Call_Center_Data[[#This Row],[Call Type ID]], Call_Type[], 2, FALSE)</f>
        <v>Tech Sup</v>
      </c>
    </row>
    <row r="875" spans="1:12" x14ac:dyDescent="0.3">
      <c r="A875">
        <v>874</v>
      </c>
      <c r="B875">
        <v>3</v>
      </c>
      <c r="C875" s="1">
        <v>45468</v>
      </c>
      <c r="D875" s="2" t="s">
        <v>74</v>
      </c>
      <c r="E875">
        <v>0</v>
      </c>
      <c r="F875">
        <v>17</v>
      </c>
      <c r="G875">
        <v>174</v>
      </c>
      <c r="H875">
        <v>179</v>
      </c>
      <c r="I875" t="str">
        <f>VLOOKUP(Call_Center_Data[[#This Row],[Emp ID]],Employee[],2,FALSE)</f>
        <v>Gina John</v>
      </c>
      <c r="J875" t="str">
        <f>VLOOKUP(Call_Center_Data[[#This Row],[Emp ID]], Employee[], 3, FALSE)</f>
        <v>Jacksonville, WA</v>
      </c>
      <c r="K875" t="str">
        <f>VLOOKUP(Call_Center_Data[[#This Row],[Emp ID]], Employee[], 4, FALSE)</f>
        <v>Henry Gill</v>
      </c>
      <c r="L875" t="str">
        <f>VLOOKUP(Call_Center_Data[[#This Row],[Call Type ID]], Call_Type[], 2, FALSE)</f>
        <v>Tech Sup</v>
      </c>
    </row>
    <row r="876" spans="1:12" x14ac:dyDescent="0.3">
      <c r="A876">
        <v>875</v>
      </c>
      <c r="B876">
        <v>1</v>
      </c>
      <c r="C876" s="1">
        <v>45469</v>
      </c>
      <c r="D876" s="2" t="s">
        <v>88</v>
      </c>
      <c r="E876">
        <v>0</v>
      </c>
      <c r="F876">
        <v>4</v>
      </c>
      <c r="G876">
        <v>141</v>
      </c>
      <c r="H876">
        <v>62</v>
      </c>
      <c r="I876" t="str">
        <f>VLOOKUP(Call_Center_Data[[#This Row],[Emp ID]],Employee[],2,FALSE)</f>
        <v>Gina Gilder</v>
      </c>
      <c r="J876" t="str">
        <f>VLOOKUP(Call_Center_Data[[#This Row],[Emp ID]], Employee[], 3, FALSE)</f>
        <v>Jacksonville, WA</v>
      </c>
      <c r="K876" t="str">
        <f>VLOOKUP(Call_Center_Data[[#This Row],[Emp ID]], Employee[], 4, FALSE)</f>
        <v>Pierce Rhodes</v>
      </c>
      <c r="L876" t="str">
        <f>VLOOKUP(Call_Center_Data[[#This Row],[Call Type ID]], Call_Type[], 2, FALSE)</f>
        <v>Billing</v>
      </c>
    </row>
    <row r="877" spans="1:12" x14ac:dyDescent="0.3">
      <c r="A877">
        <v>876</v>
      </c>
      <c r="B877">
        <v>1</v>
      </c>
      <c r="C877" s="1">
        <v>45470</v>
      </c>
      <c r="D877" s="2" t="s">
        <v>68</v>
      </c>
      <c r="E877">
        <v>0</v>
      </c>
      <c r="F877">
        <v>8</v>
      </c>
      <c r="G877">
        <v>166</v>
      </c>
      <c r="H877">
        <v>252</v>
      </c>
      <c r="I877" t="str">
        <f>VLOOKUP(Call_Center_Data[[#This Row],[Emp ID]],Employee[],2,FALSE)</f>
        <v>Tina Saab</v>
      </c>
      <c r="J877" t="str">
        <f>VLOOKUP(Call_Center_Data[[#This Row],[Emp ID]], Employee[], 3, FALSE)</f>
        <v>Spokane, WA</v>
      </c>
      <c r="K877" t="str">
        <f>VLOOKUP(Call_Center_Data[[#This Row],[Emp ID]], Employee[], 4, FALSE)</f>
        <v>Henry Baas</v>
      </c>
      <c r="L877" t="str">
        <f>VLOOKUP(Call_Center_Data[[#This Row],[Call Type ID]], Call_Type[], 2, FALSE)</f>
        <v>Billing</v>
      </c>
    </row>
    <row r="878" spans="1:12" x14ac:dyDescent="0.3">
      <c r="A878">
        <v>877</v>
      </c>
      <c r="B878">
        <v>2</v>
      </c>
      <c r="C878" s="1">
        <v>45471</v>
      </c>
      <c r="D878" s="2" t="s">
        <v>65</v>
      </c>
      <c r="E878">
        <v>1</v>
      </c>
      <c r="F878">
        <v>27</v>
      </c>
      <c r="G878">
        <v>170</v>
      </c>
      <c r="H878">
        <v>251</v>
      </c>
      <c r="I878" t="str">
        <f>VLOOKUP(Call_Center_Data[[#This Row],[Emp ID]],Employee[],2,FALSE)</f>
        <v>Ultor John</v>
      </c>
      <c r="J878" t="str">
        <f>VLOOKUP(Call_Center_Data[[#This Row],[Emp ID]], Employee[], 3, FALSE)</f>
        <v>Spokane, WA</v>
      </c>
      <c r="K878" t="str">
        <f>VLOOKUP(Call_Center_Data[[#This Row],[Emp ID]], Employee[], 4, FALSE)</f>
        <v>John Mack</v>
      </c>
      <c r="L878" t="str">
        <f>VLOOKUP(Call_Center_Data[[#This Row],[Call Type ID]], Call_Type[], 2, FALSE)</f>
        <v>Sales</v>
      </c>
    </row>
    <row r="879" spans="1:12" x14ac:dyDescent="0.3">
      <c r="A879">
        <v>878</v>
      </c>
      <c r="B879">
        <v>1</v>
      </c>
      <c r="C879" s="1">
        <v>45472</v>
      </c>
      <c r="D879" s="2" t="s">
        <v>71</v>
      </c>
      <c r="E879">
        <v>0</v>
      </c>
      <c r="F879">
        <v>45</v>
      </c>
      <c r="G879">
        <v>178</v>
      </c>
      <c r="H879">
        <v>713</v>
      </c>
      <c r="I879" t="str">
        <f>VLOOKUP(Call_Center_Data[[#This Row],[Emp ID]],Employee[],2,FALSE)</f>
        <v>Sam Pat</v>
      </c>
      <c r="J879" t="str">
        <f>VLOOKUP(Call_Center_Data[[#This Row],[Emp ID]], Employee[], 3, FALSE)</f>
        <v>Aurora, CO</v>
      </c>
      <c r="K879" t="str">
        <f>VLOOKUP(Call_Center_Data[[#This Row],[Emp ID]], Employee[], 4, FALSE)</f>
        <v>Henry Mack</v>
      </c>
      <c r="L879" t="str">
        <f>VLOOKUP(Call_Center_Data[[#This Row],[Call Type ID]], Call_Type[], 2, FALSE)</f>
        <v>Billing</v>
      </c>
    </row>
    <row r="880" spans="1:12" x14ac:dyDescent="0.3">
      <c r="A880">
        <v>879</v>
      </c>
      <c r="B880">
        <v>1</v>
      </c>
      <c r="C880" s="1">
        <v>45473</v>
      </c>
      <c r="D880" s="2" t="s">
        <v>69</v>
      </c>
      <c r="E880">
        <v>1</v>
      </c>
      <c r="F880">
        <v>26</v>
      </c>
      <c r="G880">
        <v>171</v>
      </c>
      <c r="H880">
        <v>373</v>
      </c>
      <c r="I880" t="str">
        <f>VLOOKUP(Call_Center_Data[[#This Row],[Emp ID]],Employee[],2,FALSE)</f>
        <v>Sam Gilder</v>
      </c>
      <c r="J880" t="str">
        <f>VLOOKUP(Call_Center_Data[[#This Row],[Emp ID]], Employee[], 3, FALSE)</f>
        <v>Jacksonville, WA</v>
      </c>
      <c r="K880" t="str">
        <f>VLOOKUP(Call_Center_Data[[#This Row],[Emp ID]], Employee[], 4, FALSE)</f>
        <v>Timmy Hall</v>
      </c>
      <c r="L880" t="str">
        <f>VLOOKUP(Call_Center_Data[[#This Row],[Call Type ID]], Call_Type[], 2, FALSE)</f>
        <v>Billing</v>
      </c>
    </row>
    <row r="881" spans="1:12" x14ac:dyDescent="0.3">
      <c r="A881">
        <v>880</v>
      </c>
      <c r="B881">
        <v>1</v>
      </c>
      <c r="C881" s="1">
        <v>45474</v>
      </c>
      <c r="D881" s="2" t="s">
        <v>87</v>
      </c>
      <c r="E881">
        <v>0</v>
      </c>
      <c r="F881">
        <v>7</v>
      </c>
      <c r="G881">
        <v>166</v>
      </c>
      <c r="H881">
        <v>103</v>
      </c>
      <c r="I881" t="str">
        <f>VLOOKUP(Call_Center_Data[[#This Row],[Emp ID]],Employee[],2,FALSE)</f>
        <v>Gina Saab</v>
      </c>
      <c r="J881" t="str">
        <f>VLOOKUP(Call_Center_Data[[#This Row],[Emp ID]], Employee[], 3, FALSE)</f>
        <v>Jacksonville, WA</v>
      </c>
      <c r="K881" t="str">
        <f>VLOOKUP(Call_Center_Data[[#This Row],[Emp ID]], Employee[], 4, FALSE)</f>
        <v>Jenny Gill</v>
      </c>
      <c r="L881" t="str">
        <f>VLOOKUP(Call_Center_Data[[#This Row],[Call Type ID]], Call_Type[], 2, FALSE)</f>
        <v>Billing</v>
      </c>
    </row>
    <row r="882" spans="1:12" x14ac:dyDescent="0.3">
      <c r="A882">
        <v>881</v>
      </c>
      <c r="B882">
        <v>3</v>
      </c>
      <c r="C882" s="1">
        <v>45475</v>
      </c>
      <c r="D882" s="2" t="s">
        <v>70</v>
      </c>
      <c r="E882">
        <v>0</v>
      </c>
      <c r="F882">
        <v>17</v>
      </c>
      <c r="G882">
        <v>165</v>
      </c>
      <c r="H882">
        <v>203</v>
      </c>
      <c r="I882" t="str">
        <f>VLOOKUP(Call_Center_Data[[#This Row],[Emp ID]],Employee[],2,FALSE)</f>
        <v>Jill Pat</v>
      </c>
      <c r="J882" t="str">
        <f>VLOOKUP(Call_Center_Data[[#This Row],[Emp ID]], Employee[], 3, FALSE)</f>
        <v>Aurora, CO</v>
      </c>
      <c r="K882" t="str">
        <f>VLOOKUP(Call_Center_Data[[#This Row],[Emp ID]], Employee[], 4, FALSE)</f>
        <v>Henry Rhodes</v>
      </c>
      <c r="L882" t="str">
        <f>VLOOKUP(Call_Center_Data[[#This Row],[Call Type ID]], Call_Type[], 2, FALSE)</f>
        <v>Tech Sup</v>
      </c>
    </row>
    <row r="883" spans="1:12" x14ac:dyDescent="0.3">
      <c r="A883">
        <v>882</v>
      </c>
      <c r="B883">
        <v>3</v>
      </c>
      <c r="C883" s="1">
        <v>45476</v>
      </c>
      <c r="D883" s="2" t="s">
        <v>65</v>
      </c>
      <c r="E883">
        <v>1</v>
      </c>
      <c r="F883">
        <v>27</v>
      </c>
      <c r="G883">
        <v>166</v>
      </c>
      <c r="H883">
        <v>325</v>
      </c>
      <c r="I883" t="str">
        <f>VLOOKUP(Call_Center_Data[[#This Row],[Emp ID]],Employee[],2,FALSE)</f>
        <v>Ultor John</v>
      </c>
      <c r="J883" t="str">
        <f>VLOOKUP(Call_Center_Data[[#This Row],[Emp ID]], Employee[], 3, FALSE)</f>
        <v>Spokane, WA</v>
      </c>
      <c r="K883" t="str">
        <f>VLOOKUP(Call_Center_Data[[#This Row],[Emp ID]], Employee[], 4, FALSE)</f>
        <v>John Mack</v>
      </c>
      <c r="L883" t="str">
        <f>VLOOKUP(Call_Center_Data[[#This Row],[Call Type ID]], Call_Type[], 2, FALSE)</f>
        <v>Tech Sup</v>
      </c>
    </row>
    <row r="884" spans="1:12" x14ac:dyDescent="0.3">
      <c r="A884">
        <v>883</v>
      </c>
      <c r="B884">
        <v>3</v>
      </c>
      <c r="C884" s="1">
        <v>45477</v>
      </c>
      <c r="D884" s="2" t="s">
        <v>71</v>
      </c>
      <c r="E884">
        <v>1</v>
      </c>
      <c r="F884">
        <v>55</v>
      </c>
      <c r="G884">
        <v>173</v>
      </c>
      <c r="H884">
        <v>449</v>
      </c>
      <c r="I884" t="str">
        <f>VLOOKUP(Call_Center_Data[[#This Row],[Emp ID]],Employee[],2,FALSE)</f>
        <v>Sam Pat</v>
      </c>
      <c r="J884" t="str">
        <f>VLOOKUP(Call_Center_Data[[#This Row],[Emp ID]], Employee[], 3, FALSE)</f>
        <v>Aurora, CO</v>
      </c>
      <c r="K884" t="str">
        <f>VLOOKUP(Call_Center_Data[[#This Row],[Emp ID]], Employee[], 4, FALSE)</f>
        <v>Henry Mack</v>
      </c>
      <c r="L884" t="str">
        <f>VLOOKUP(Call_Center_Data[[#This Row],[Call Type ID]], Call_Type[], 2, FALSE)</f>
        <v>Tech Sup</v>
      </c>
    </row>
    <row r="885" spans="1:12" x14ac:dyDescent="0.3">
      <c r="A885">
        <v>884</v>
      </c>
      <c r="B885">
        <v>2</v>
      </c>
      <c r="C885" s="1">
        <v>45478</v>
      </c>
      <c r="D885" s="2" t="s">
        <v>81</v>
      </c>
      <c r="E885">
        <v>1</v>
      </c>
      <c r="F885">
        <v>112</v>
      </c>
      <c r="G885">
        <v>189</v>
      </c>
      <c r="H885">
        <v>666</v>
      </c>
      <c r="I885" t="str">
        <f>VLOOKUP(Call_Center_Data[[#This Row],[Emp ID]],Employee[],2,FALSE)</f>
        <v>Sam Simons</v>
      </c>
      <c r="J885" t="str">
        <f>VLOOKUP(Call_Center_Data[[#This Row],[Emp ID]], Employee[], 3, FALSE)</f>
        <v>Jacksonville, WA</v>
      </c>
      <c r="K885" t="str">
        <f>VLOOKUP(Call_Center_Data[[#This Row],[Emp ID]], Employee[], 4, FALSE)</f>
        <v>John Baas</v>
      </c>
      <c r="L885" t="str">
        <f>VLOOKUP(Call_Center_Data[[#This Row],[Call Type ID]], Call_Type[], 2, FALSE)</f>
        <v>Sales</v>
      </c>
    </row>
    <row r="886" spans="1:12" x14ac:dyDescent="0.3">
      <c r="A886">
        <v>885</v>
      </c>
      <c r="B886">
        <v>1</v>
      </c>
      <c r="C886" s="1">
        <v>45479</v>
      </c>
      <c r="D886" s="2" t="s">
        <v>68</v>
      </c>
      <c r="E886">
        <v>1</v>
      </c>
      <c r="F886">
        <v>44</v>
      </c>
      <c r="G886">
        <v>182</v>
      </c>
      <c r="H886">
        <v>372</v>
      </c>
      <c r="I886" t="str">
        <f>VLOOKUP(Call_Center_Data[[#This Row],[Emp ID]],Employee[],2,FALSE)</f>
        <v>Tina Saab</v>
      </c>
      <c r="J886" t="str">
        <f>VLOOKUP(Call_Center_Data[[#This Row],[Emp ID]], Employee[], 3, FALSE)</f>
        <v>Spokane, WA</v>
      </c>
      <c r="K886" t="str">
        <f>VLOOKUP(Call_Center_Data[[#This Row],[Emp ID]], Employee[], 4, FALSE)</f>
        <v>Henry Baas</v>
      </c>
      <c r="L886" t="str">
        <f>VLOOKUP(Call_Center_Data[[#This Row],[Call Type ID]], Call_Type[], 2, FALSE)</f>
        <v>Billing</v>
      </c>
    </row>
    <row r="887" spans="1:12" x14ac:dyDescent="0.3">
      <c r="A887">
        <v>886</v>
      </c>
      <c r="B887">
        <v>2</v>
      </c>
      <c r="C887" s="1">
        <v>45480</v>
      </c>
      <c r="D887" s="2" t="s">
        <v>82</v>
      </c>
      <c r="E887">
        <v>1</v>
      </c>
      <c r="F887">
        <v>16</v>
      </c>
      <c r="G887">
        <v>171</v>
      </c>
      <c r="H887">
        <v>248</v>
      </c>
      <c r="I887" t="str">
        <f>VLOOKUP(Call_Center_Data[[#This Row],[Emp ID]],Employee[],2,FALSE)</f>
        <v>Ultor Gilder</v>
      </c>
      <c r="J887" t="str">
        <f>VLOOKUP(Call_Center_Data[[#This Row],[Emp ID]], Employee[], 3, FALSE)</f>
        <v>Aurora, CO</v>
      </c>
      <c r="K887" t="str">
        <f>VLOOKUP(Call_Center_Data[[#This Row],[Emp ID]], Employee[], 4, FALSE)</f>
        <v>Pierce Mack</v>
      </c>
      <c r="L887" t="str">
        <f>VLOOKUP(Call_Center_Data[[#This Row],[Call Type ID]], Call_Type[], 2, FALSE)</f>
        <v>Sales</v>
      </c>
    </row>
    <row r="888" spans="1:12" x14ac:dyDescent="0.3">
      <c r="A888">
        <v>887</v>
      </c>
      <c r="B888">
        <v>3</v>
      </c>
      <c r="C888" s="1">
        <v>45481</v>
      </c>
      <c r="D888" s="2" t="s">
        <v>80</v>
      </c>
      <c r="E888">
        <v>1</v>
      </c>
      <c r="F888">
        <v>5</v>
      </c>
      <c r="G888">
        <v>176</v>
      </c>
      <c r="H888">
        <v>99</v>
      </c>
      <c r="I888" t="str">
        <f>VLOOKUP(Call_Center_Data[[#This Row],[Emp ID]],Employee[],2,FALSE)</f>
        <v>Tina Simons</v>
      </c>
      <c r="J888" t="str">
        <f>VLOOKUP(Call_Center_Data[[#This Row],[Emp ID]], Employee[], 3, FALSE)</f>
        <v>Aurora, CO</v>
      </c>
      <c r="K888" t="str">
        <f>VLOOKUP(Call_Center_Data[[#This Row],[Emp ID]], Employee[], 4, FALSE)</f>
        <v>Pierce Gill</v>
      </c>
      <c r="L888" t="str">
        <f>VLOOKUP(Call_Center_Data[[#This Row],[Call Type ID]], Call_Type[], 2, FALSE)</f>
        <v>Tech Sup</v>
      </c>
    </row>
    <row r="889" spans="1:12" x14ac:dyDescent="0.3">
      <c r="A889">
        <v>888</v>
      </c>
      <c r="B889">
        <v>2</v>
      </c>
      <c r="C889" s="1">
        <v>45482</v>
      </c>
      <c r="D889" s="2" t="s">
        <v>67</v>
      </c>
      <c r="E889">
        <v>1</v>
      </c>
      <c r="F889">
        <v>34</v>
      </c>
      <c r="G889">
        <v>189</v>
      </c>
      <c r="H889">
        <v>252</v>
      </c>
      <c r="I889" t="str">
        <f>VLOOKUP(Call_Center_Data[[#This Row],[Emp ID]],Employee[],2,FALSE)</f>
        <v>Tina Pat</v>
      </c>
      <c r="J889" t="str">
        <f>VLOOKUP(Call_Center_Data[[#This Row],[Emp ID]], Employee[], 3, FALSE)</f>
        <v>Jacksonville, WA</v>
      </c>
      <c r="K889" t="str">
        <f>VLOOKUP(Call_Center_Data[[#This Row],[Emp ID]], Employee[], 4, FALSE)</f>
        <v>John Hall</v>
      </c>
      <c r="L889" t="str">
        <f>VLOOKUP(Call_Center_Data[[#This Row],[Call Type ID]], Call_Type[], 2, FALSE)</f>
        <v>Sales</v>
      </c>
    </row>
    <row r="890" spans="1:12" x14ac:dyDescent="0.3">
      <c r="A890">
        <v>889</v>
      </c>
      <c r="B890">
        <v>1</v>
      </c>
      <c r="C890" s="1">
        <v>45483</v>
      </c>
      <c r="D890" s="2" t="s">
        <v>87</v>
      </c>
      <c r="E890">
        <v>1</v>
      </c>
      <c r="F890">
        <v>21</v>
      </c>
      <c r="G890">
        <v>183</v>
      </c>
      <c r="H890">
        <v>135</v>
      </c>
      <c r="I890" t="str">
        <f>VLOOKUP(Call_Center_Data[[#This Row],[Emp ID]],Employee[],2,FALSE)</f>
        <v>Gina Saab</v>
      </c>
      <c r="J890" t="str">
        <f>VLOOKUP(Call_Center_Data[[#This Row],[Emp ID]], Employee[], 3, FALSE)</f>
        <v>Jacksonville, WA</v>
      </c>
      <c r="K890" t="str">
        <f>VLOOKUP(Call_Center_Data[[#This Row],[Emp ID]], Employee[], 4, FALSE)</f>
        <v>Jenny Gill</v>
      </c>
      <c r="L890" t="str">
        <f>VLOOKUP(Call_Center_Data[[#This Row],[Call Type ID]], Call_Type[], 2, FALSE)</f>
        <v>Billing</v>
      </c>
    </row>
    <row r="891" spans="1:12" x14ac:dyDescent="0.3">
      <c r="A891">
        <v>890</v>
      </c>
      <c r="B891">
        <v>2</v>
      </c>
      <c r="C891" s="1">
        <v>45484</v>
      </c>
      <c r="D891" s="2" t="s">
        <v>79</v>
      </c>
      <c r="E891">
        <v>1</v>
      </c>
      <c r="F891">
        <v>24</v>
      </c>
      <c r="G891">
        <v>170</v>
      </c>
      <c r="H891">
        <v>310</v>
      </c>
      <c r="I891" t="str">
        <f>VLOOKUP(Call_Center_Data[[#This Row],[Emp ID]],Employee[],2,FALSE)</f>
        <v>Gina Simons</v>
      </c>
      <c r="J891" t="str">
        <f>VLOOKUP(Call_Center_Data[[#This Row],[Emp ID]], Employee[], 3, FALSE)</f>
        <v>Spokane, WA</v>
      </c>
      <c r="K891" t="str">
        <f>VLOOKUP(Call_Center_Data[[#This Row],[Emp ID]], Employee[], 4, FALSE)</f>
        <v>John Rhodes</v>
      </c>
      <c r="L891" t="str">
        <f>VLOOKUP(Call_Center_Data[[#This Row],[Call Type ID]], Call_Type[], 2, FALSE)</f>
        <v>Sales</v>
      </c>
    </row>
    <row r="892" spans="1:12" x14ac:dyDescent="0.3">
      <c r="A892">
        <v>891</v>
      </c>
      <c r="B892">
        <v>3</v>
      </c>
      <c r="C892" s="1">
        <v>45485</v>
      </c>
      <c r="D892" s="2" t="s">
        <v>83</v>
      </c>
      <c r="E892">
        <v>0</v>
      </c>
      <c r="F892">
        <v>16</v>
      </c>
      <c r="G892">
        <v>159</v>
      </c>
      <c r="H892">
        <v>377</v>
      </c>
      <c r="I892" t="str">
        <f>VLOOKUP(Call_Center_Data[[#This Row],[Emp ID]],Employee[],2,FALSE)</f>
        <v>Ultor Simons</v>
      </c>
      <c r="J892" t="str">
        <f>VLOOKUP(Call_Center_Data[[#This Row],[Emp ID]], Employee[], 3, FALSE)</f>
        <v>Jacksonville, WA</v>
      </c>
      <c r="K892" t="str">
        <f>VLOOKUP(Call_Center_Data[[#This Row],[Emp ID]], Employee[], 4, FALSE)</f>
        <v>Pierce Hall</v>
      </c>
      <c r="L892" t="str">
        <f>VLOOKUP(Call_Center_Data[[#This Row],[Call Type ID]], Call_Type[], 2, FALSE)</f>
        <v>Tech Sup</v>
      </c>
    </row>
    <row r="893" spans="1:12" x14ac:dyDescent="0.3">
      <c r="A893">
        <v>892</v>
      </c>
      <c r="B893">
        <v>3</v>
      </c>
      <c r="C893" s="1">
        <v>45486</v>
      </c>
      <c r="D893" s="2" t="s">
        <v>67</v>
      </c>
      <c r="E893">
        <v>0</v>
      </c>
      <c r="F893">
        <v>18</v>
      </c>
      <c r="G893">
        <v>157</v>
      </c>
      <c r="H893">
        <v>165</v>
      </c>
      <c r="I893" t="str">
        <f>VLOOKUP(Call_Center_Data[[#This Row],[Emp ID]],Employee[],2,FALSE)</f>
        <v>Tina Pat</v>
      </c>
      <c r="J893" t="str">
        <f>VLOOKUP(Call_Center_Data[[#This Row],[Emp ID]], Employee[], 3, FALSE)</f>
        <v>Jacksonville, WA</v>
      </c>
      <c r="K893" t="str">
        <f>VLOOKUP(Call_Center_Data[[#This Row],[Emp ID]], Employee[], 4, FALSE)</f>
        <v>John Hall</v>
      </c>
      <c r="L893" t="str">
        <f>VLOOKUP(Call_Center_Data[[#This Row],[Call Type ID]], Call_Type[], 2, FALSE)</f>
        <v>Tech Sup</v>
      </c>
    </row>
    <row r="894" spans="1:12" x14ac:dyDescent="0.3">
      <c r="A894">
        <v>893</v>
      </c>
      <c r="B894">
        <v>1</v>
      </c>
      <c r="C894" s="1">
        <v>45487</v>
      </c>
      <c r="D894" s="2" t="s">
        <v>72</v>
      </c>
      <c r="E894">
        <v>0</v>
      </c>
      <c r="F894">
        <v>20</v>
      </c>
      <c r="G894">
        <v>154</v>
      </c>
      <c r="H894">
        <v>294</v>
      </c>
      <c r="I894" t="str">
        <f>VLOOKUP(Call_Center_Data[[#This Row],[Emp ID]],Employee[],2,FALSE)</f>
        <v>Ultor Pat</v>
      </c>
      <c r="J894" t="str">
        <f>VLOOKUP(Call_Center_Data[[#This Row],[Emp ID]], Employee[], 3, FALSE)</f>
        <v>Jacksonville, WA</v>
      </c>
      <c r="K894" t="str">
        <f>VLOOKUP(Call_Center_Data[[#This Row],[Emp ID]], Employee[], 4, FALSE)</f>
        <v>Jenny Hall</v>
      </c>
      <c r="L894" t="str">
        <f>VLOOKUP(Call_Center_Data[[#This Row],[Call Type ID]], Call_Type[], 2, FALSE)</f>
        <v>Billing</v>
      </c>
    </row>
    <row r="895" spans="1:12" x14ac:dyDescent="0.3">
      <c r="A895">
        <v>894</v>
      </c>
      <c r="B895">
        <v>2</v>
      </c>
      <c r="C895" s="1">
        <v>45488</v>
      </c>
      <c r="D895" s="2" t="s">
        <v>70</v>
      </c>
      <c r="E895">
        <v>0</v>
      </c>
      <c r="F895">
        <v>6</v>
      </c>
      <c r="G895">
        <v>156</v>
      </c>
      <c r="H895">
        <v>65</v>
      </c>
      <c r="I895" t="str">
        <f>VLOOKUP(Call_Center_Data[[#This Row],[Emp ID]],Employee[],2,FALSE)</f>
        <v>Jill Pat</v>
      </c>
      <c r="J895" t="str">
        <f>VLOOKUP(Call_Center_Data[[#This Row],[Emp ID]], Employee[], 3, FALSE)</f>
        <v>Aurora, CO</v>
      </c>
      <c r="K895" t="str">
        <f>VLOOKUP(Call_Center_Data[[#This Row],[Emp ID]], Employee[], 4, FALSE)</f>
        <v>Henry Rhodes</v>
      </c>
      <c r="L895" t="str">
        <f>VLOOKUP(Call_Center_Data[[#This Row],[Call Type ID]], Call_Type[], 2, FALSE)</f>
        <v>Sales</v>
      </c>
    </row>
    <row r="896" spans="1:12" x14ac:dyDescent="0.3">
      <c r="A896">
        <v>895</v>
      </c>
      <c r="B896">
        <v>1</v>
      </c>
      <c r="C896" s="1">
        <v>45489</v>
      </c>
      <c r="D896" s="2" t="s">
        <v>85</v>
      </c>
      <c r="E896">
        <v>0</v>
      </c>
      <c r="F896">
        <v>9</v>
      </c>
      <c r="G896">
        <v>159</v>
      </c>
      <c r="H896">
        <v>121</v>
      </c>
      <c r="I896" t="str">
        <f>VLOOKUP(Call_Center_Data[[#This Row],[Emp ID]],Employee[],2,FALSE)</f>
        <v>Tina Gilder</v>
      </c>
      <c r="J896" t="str">
        <f>VLOOKUP(Call_Center_Data[[#This Row],[Emp ID]], Employee[], 3, FALSE)</f>
        <v>Spokane, WA</v>
      </c>
      <c r="K896" t="str">
        <f>VLOOKUP(Call_Center_Data[[#This Row],[Emp ID]], Employee[], 4, FALSE)</f>
        <v>Timmy Baas</v>
      </c>
      <c r="L896" t="str">
        <f>VLOOKUP(Call_Center_Data[[#This Row],[Call Type ID]], Call_Type[], 2, FALSE)</f>
        <v>Billing</v>
      </c>
    </row>
    <row r="897" spans="1:12" x14ac:dyDescent="0.3">
      <c r="A897">
        <v>896</v>
      </c>
      <c r="B897">
        <v>1</v>
      </c>
      <c r="C897" s="1">
        <v>45490</v>
      </c>
      <c r="D897" s="2" t="s">
        <v>70</v>
      </c>
      <c r="E897">
        <v>0</v>
      </c>
      <c r="F897">
        <v>9</v>
      </c>
      <c r="G897">
        <v>165</v>
      </c>
      <c r="H897">
        <v>150</v>
      </c>
      <c r="I897" t="str">
        <f>VLOOKUP(Call_Center_Data[[#This Row],[Emp ID]],Employee[],2,FALSE)</f>
        <v>Jill Pat</v>
      </c>
      <c r="J897" t="str">
        <f>VLOOKUP(Call_Center_Data[[#This Row],[Emp ID]], Employee[], 3, FALSE)</f>
        <v>Aurora, CO</v>
      </c>
      <c r="K897" t="str">
        <f>VLOOKUP(Call_Center_Data[[#This Row],[Emp ID]], Employee[], 4, FALSE)</f>
        <v>Henry Rhodes</v>
      </c>
      <c r="L897" t="str">
        <f>VLOOKUP(Call_Center_Data[[#This Row],[Call Type ID]], Call_Type[], 2, FALSE)</f>
        <v>Billing</v>
      </c>
    </row>
    <row r="898" spans="1:12" x14ac:dyDescent="0.3">
      <c r="A898">
        <v>897</v>
      </c>
      <c r="B898">
        <v>1</v>
      </c>
      <c r="C898" s="1">
        <v>45491</v>
      </c>
      <c r="D898" s="2" t="s">
        <v>82</v>
      </c>
      <c r="E898">
        <v>1</v>
      </c>
      <c r="F898">
        <v>19</v>
      </c>
      <c r="G898">
        <v>168</v>
      </c>
      <c r="H898">
        <v>368</v>
      </c>
      <c r="I898" t="str">
        <f>VLOOKUP(Call_Center_Data[[#This Row],[Emp ID]],Employee[],2,FALSE)</f>
        <v>Ultor Gilder</v>
      </c>
      <c r="J898" t="str">
        <f>VLOOKUP(Call_Center_Data[[#This Row],[Emp ID]], Employee[], 3, FALSE)</f>
        <v>Aurora, CO</v>
      </c>
      <c r="K898" t="str">
        <f>VLOOKUP(Call_Center_Data[[#This Row],[Emp ID]], Employee[], 4, FALSE)</f>
        <v>Pierce Mack</v>
      </c>
      <c r="L898" t="str">
        <f>VLOOKUP(Call_Center_Data[[#This Row],[Call Type ID]], Call_Type[], 2, FALSE)</f>
        <v>Billing</v>
      </c>
    </row>
    <row r="899" spans="1:12" x14ac:dyDescent="0.3">
      <c r="A899">
        <v>898</v>
      </c>
      <c r="B899">
        <v>1</v>
      </c>
      <c r="C899" s="1">
        <v>45492</v>
      </c>
      <c r="D899" s="2" t="s">
        <v>82</v>
      </c>
      <c r="E899">
        <v>0</v>
      </c>
      <c r="F899">
        <v>8</v>
      </c>
      <c r="G899">
        <v>163</v>
      </c>
      <c r="H899">
        <v>187</v>
      </c>
      <c r="I899" t="str">
        <f>VLOOKUP(Call_Center_Data[[#This Row],[Emp ID]],Employee[],2,FALSE)</f>
        <v>Ultor Gilder</v>
      </c>
      <c r="J899" t="str">
        <f>VLOOKUP(Call_Center_Data[[#This Row],[Emp ID]], Employee[], 3, FALSE)</f>
        <v>Aurora, CO</v>
      </c>
      <c r="K899" t="str">
        <f>VLOOKUP(Call_Center_Data[[#This Row],[Emp ID]], Employee[], 4, FALSE)</f>
        <v>Pierce Mack</v>
      </c>
      <c r="L899" t="str">
        <f>VLOOKUP(Call_Center_Data[[#This Row],[Call Type ID]], Call_Type[], 2, FALSE)</f>
        <v>Billing</v>
      </c>
    </row>
    <row r="900" spans="1:12" x14ac:dyDescent="0.3">
      <c r="A900">
        <v>899</v>
      </c>
      <c r="B900">
        <v>3</v>
      </c>
      <c r="C900" s="1">
        <v>45493</v>
      </c>
      <c r="D900" s="2" t="s">
        <v>84</v>
      </c>
      <c r="E900">
        <v>0</v>
      </c>
      <c r="F900">
        <v>8</v>
      </c>
      <c r="G900">
        <v>184</v>
      </c>
      <c r="H900">
        <v>130</v>
      </c>
      <c r="I900" t="str">
        <f>VLOOKUP(Call_Center_Data[[#This Row],[Emp ID]],Employee[],2,FALSE)</f>
        <v>Sam John</v>
      </c>
      <c r="J900" t="str">
        <f>VLOOKUP(Call_Center_Data[[#This Row],[Emp ID]], Employee[], 3, FALSE)</f>
        <v>Aurora, CO</v>
      </c>
      <c r="K900" t="str">
        <f>VLOOKUP(Call_Center_Data[[#This Row],[Emp ID]], Employee[], 4, FALSE)</f>
        <v>Jenny Mack</v>
      </c>
      <c r="L900" t="str">
        <f>VLOOKUP(Call_Center_Data[[#This Row],[Call Type ID]], Call_Type[], 2, FALSE)</f>
        <v>Tech Sup</v>
      </c>
    </row>
    <row r="901" spans="1:12" x14ac:dyDescent="0.3">
      <c r="A901">
        <v>900</v>
      </c>
      <c r="B901">
        <v>1</v>
      </c>
      <c r="C901" s="1">
        <v>45494</v>
      </c>
      <c r="D901" s="2" t="s">
        <v>79</v>
      </c>
      <c r="E901">
        <v>0</v>
      </c>
      <c r="F901">
        <v>8</v>
      </c>
      <c r="G901">
        <v>174</v>
      </c>
      <c r="H901">
        <v>167</v>
      </c>
      <c r="I901" t="str">
        <f>VLOOKUP(Call_Center_Data[[#This Row],[Emp ID]],Employee[],2,FALSE)</f>
        <v>Gina Simons</v>
      </c>
      <c r="J901" t="str">
        <f>VLOOKUP(Call_Center_Data[[#This Row],[Emp ID]], Employee[], 3, FALSE)</f>
        <v>Spokane, WA</v>
      </c>
      <c r="K901" t="str">
        <f>VLOOKUP(Call_Center_Data[[#This Row],[Emp ID]], Employee[], 4, FALSE)</f>
        <v>John Rhodes</v>
      </c>
      <c r="L901" t="str">
        <f>VLOOKUP(Call_Center_Data[[#This Row],[Call Type ID]], Call_Type[], 2, FALSE)</f>
        <v>Billing</v>
      </c>
    </row>
    <row r="902" spans="1:12" x14ac:dyDescent="0.3">
      <c r="A902">
        <v>901</v>
      </c>
      <c r="B902">
        <v>1</v>
      </c>
      <c r="C902" s="1">
        <v>45495</v>
      </c>
      <c r="D902" s="2" t="s">
        <v>80</v>
      </c>
      <c r="E902">
        <v>0</v>
      </c>
      <c r="F902">
        <v>11</v>
      </c>
      <c r="G902">
        <v>158</v>
      </c>
      <c r="H902">
        <v>77</v>
      </c>
      <c r="I902" t="str">
        <f>VLOOKUP(Call_Center_Data[[#This Row],[Emp ID]],Employee[],2,FALSE)</f>
        <v>Tina Simons</v>
      </c>
      <c r="J902" t="str">
        <f>VLOOKUP(Call_Center_Data[[#This Row],[Emp ID]], Employee[], 3, FALSE)</f>
        <v>Aurora, CO</v>
      </c>
      <c r="K902" t="str">
        <f>VLOOKUP(Call_Center_Data[[#This Row],[Emp ID]], Employee[], 4, FALSE)</f>
        <v>Pierce Gill</v>
      </c>
      <c r="L902" t="str">
        <f>VLOOKUP(Call_Center_Data[[#This Row],[Call Type ID]], Call_Type[], 2, FALSE)</f>
        <v>Billing</v>
      </c>
    </row>
    <row r="903" spans="1:12" x14ac:dyDescent="0.3">
      <c r="A903">
        <v>902</v>
      </c>
      <c r="B903">
        <v>2</v>
      </c>
      <c r="C903" s="1">
        <v>45496</v>
      </c>
      <c r="D903" s="2" t="s">
        <v>67</v>
      </c>
      <c r="E903">
        <v>0</v>
      </c>
      <c r="F903">
        <v>45</v>
      </c>
      <c r="G903">
        <v>175</v>
      </c>
      <c r="H903">
        <v>290</v>
      </c>
      <c r="I903" t="str">
        <f>VLOOKUP(Call_Center_Data[[#This Row],[Emp ID]],Employee[],2,FALSE)</f>
        <v>Tina Pat</v>
      </c>
      <c r="J903" t="str">
        <f>VLOOKUP(Call_Center_Data[[#This Row],[Emp ID]], Employee[], 3, FALSE)</f>
        <v>Jacksonville, WA</v>
      </c>
      <c r="K903" t="str">
        <f>VLOOKUP(Call_Center_Data[[#This Row],[Emp ID]], Employee[], 4, FALSE)</f>
        <v>John Hall</v>
      </c>
      <c r="L903" t="str">
        <f>VLOOKUP(Call_Center_Data[[#This Row],[Call Type ID]], Call_Type[], 2, FALSE)</f>
        <v>Sales</v>
      </c>
    </row>
    <row r="904" spans="1:12" x14ac:dyDescent="0.3">
      <c r="A904">
        <v>903</v>
      </c>
      <c r="B904">
        <v>2</v>
      </c>
      <c r="C904" s="1">
        <v>45497</v>
      </c>
      <c r="D904" s="2" t="s">
        <v>64</v>
      </c>
      <c r="E904">
        <v>1</v>
      </c>
      <c r="F904">
        <v>26</v>
      </c>
      <c r="G904">
        <v>174</v>
      </c>
      <c r="H904">
        <v>558</v>
      </c>
      <c r="I904" t="str">
        <f>VLOOKUP(Call_Center_Data[[#This Row],[Emp ID]],Employee[],2,FALSE)</f>
        <v>Jill Simons</v>
      </c>
      <c r="J904" t="str">
        <f>VLOOKUP(Call_Center_Data[[#This Row],[Emp ID]], Employee[], 3, FALSE)</f>
        <v>Spokane, WA</v>
      </c>
      <c r="K904" t="str">
        <f>VLOOKUP(Call_Center_Data[[#This Row],[Emp ID]], Employee[], 4, FALSE)</f>
        <v>Jenny Rhodes</v>
      </c>
      <c r="L904" t="str">
        <f>VLOOKUP(Call_Center_Data[[#This Row],[Call Type ID]], Call_Type[], 2, FALSE)</f>
        <v>Sales</v>
      </c>
    </row>
    <row r="905" spans="1:12" x14ac:dyDescent="0.3">
      <c r="A905">
        <v>904</v>
      </c>
      <c r="B905">
        <v>1</v>
      </c>
      <c r="C905" s="1">
        <v>45498</v>
      </c>
      <c r="D905" s="2" t="s">
        <v>76</v>
      </c>
      <c r="E905">
        <v>1</v>
      </c>
      <c r="F905">
        <v>12</v>
      </c>
      <c r="G905">
        <v>122</v>
      </c>
      <c r="H905">
        <v>401</v>
      </c>
      <c r="I905" t="str">
        <f>VLOOKUP(Call_Center_Data[[#This Row],[Emp ID]],Employee[],2,FALSE)</f>
        <v>Ultor Saab</v>
      </c>
      <c r="J905" t="str">
        <f>VLOOKUP(Call_Center_Data[[#This Row],[Emp ID]], Employee[], 3, FALSE)</f>
        <v>Aurora, CO</v>
      </c>
      <c r="K905" t="str">
        <f>VLOOKUP(Call_Center_Data[[#This Row],[Emp ID]], Employee[], 4, FALSE)</f>
        <v>Pierce Baas</v>
      </c>
      <c r="L905" t="str">
        <f>VLOOKUP(Call_Center_Data[[#This Row],[Call Type ID]], Call_Type[], 2, FALSE)</f>
        <v>Billing</v>
      </c>
    </row>
    <row r="906" spans="1:12" x14ac:dyDescent="0.3">
      <c r="A906">
        <v>905</v>
      </c>
      <c r="B906">
        <v>1</v>
      </c>
      <c r="C906" s="1">
        <v>45499</v>
      </c>
      <c r="D906" s="2" t="s">
        <v>80</v>
      </c>
      <c r="E906">
        <v>1</v>
      </c>
      <c r="F906">
        <v>41</v>
      </c>
      <c r="G906">
        <v>177</v>
      </c>
      <c r="H906">
        <v>567</v>
      </c>
      <c r="I906" t="str">
        <f>VLOOKUP(Call_Center_Data[[#This Row],[Emp ID]],Employee[],2,FALSE)</f>
        <v>Tina Simons</v>
      </c>
      <c r="J906" t="str">
        <f>VLOOKUP(Call_Center_Data[[#This Row],[Emp ID]], Employee[], 3, FALSE)</f>
        <v>Aurora, CO</v>
      </c>
      <c r="K906" t="str">
        <f>VLOOKUP(Call_Center_Data[[#This Row],[Emp ID]], Employee[], 4, FALSE)</f>
        <v>Pierce Gill</v>
      </c>
      <c r="L906" t="str">
        <f>VLOOKUP(Call_Center_Data[[#This Row],[Call Type ID]], Call_Type[], 2, FALSE)</f>
        <v>Billing</v>
      </c>
    </row>
    <row r="907" spans="1:12" x14ac:dyDescent="0.3">
      <c r="A907">
        <v>906</v>
      </c>
      <c r="B907">
        <v>3</v>
      </c>
      <c r="C907" s="1">
        <v>45500</v>
      </c>
      <c r="D907" s="2" t="s">
        <v>75</v>
      </c>
      <c r="E907">
        <v>0</v>
      </c>
      <c r="F907">
        <v>11</v>
      </c>
      <c r="G907">
        <v>180</v>
      </c>
      <c r="H907">
        <v>342</v>
      </c>
      <c r="I907" t="str">
        <f>VLOOKUP(Call_Center_Data[[#This Row],[Emp ID]],Employee[],2,FALSE)</f>
        <v>Gina Pat</v>
      </c>
      <c r="J907" t="str">
        <f>VLOOKUP(Call_Center_Data[[#This Row],[Emp ID]], Employee[], 3, FALSE)</f>
        <v>Spokane, WA</v>
      </c>
      <c r="K907" t="str">
        <f>VLOOKUP(Call_Center_Data[[#This Row],[Emp ID]], Employee[], 4, FALSE)</f>
        <v>Henry Hall</v>
      </c>
      <c r="L907" t="str">
        <f>VLOOKUP(Call_Center_Data[[#This Row],[Call Type ID]], Call_Type[], 2, FALSE)</f>
        <v>Tech Sup</v>
      </c>
    </row>
    <row r="908" spans="1:12" x14ac:dyDescent="0.3">
      <c r="A908">
        <v>907</v>
      </c>
      <c r="B908">
        <v>1</v>
      </c>
      <c r="C908" s="1">
        <v>45501</v>
      </c>
      <c r="D908" s="2" t="s">
        <v>69</v>
      </c>
      <c r="E908">
        <v>0</v>
      </c>
      <c r="F908">
        <v>15</v>
      </c>
      <c r="G908">
        <v>161</v>
      </c>
      <c r="H908">
        <v>177</v>
      </c>
      <c r="I908" t="str">
        <f>VLOOKUP(Call_Center_Data[[#This Row],[Emp ID]],Employee[],2,FALSE)</f>
        <v>Sam Gilder</v>
      </c>
      <c r="J908" t="str">
        <f>VLOOKUP(Call_Center_Data[[#This Row],[Emp ID]], Employee[], 3, FALSE)</f>
        <v>Jacksonville, WA</v>
      </c>
      <c r="K908" t="str">
        <f>VLOOKUP(Call_Center_Data[[#This Row],[Emp ID]], Employee[], 4, FALSE)</f>
        <v>Timmy Hall</v>
      </c>
      <c r="L908" t="str">
        <f>VLOOKUP(Call_Center_Data[[#This Row],[Call Type ID]], Call_Type[], 2, FALSE)</f>
        <v>Billing</v>
      </c>
    </row>
    <row r="909" spans="1:12" x14ac:dyDescent="0.3">
      <c r="A909">
        <v>908</v>
      </c>
      <c r="B909">
        <v>3</v>
      </c>
      <c r="C909" s="1">
        <v>45502</v>
      </c>
      <c r="D909" s="2" t="s">
        <v>70</v>
      </c>
      <c r="E909">
        <v>0</v>
      </c>
      <c r="F909">
        <v>14</v>
      </c>
      <c r="G909">
        <v>173</v>
      </c>
      <c r="H909">
        <v>127</v>
      </c>
      <c r="I909" t="str">
        <f>VLOOKUP(Call_Center_Data[[#This Row],[Emp ID]],Employee[],2,FALSE)</f>
        <v>Jill Pat</v>
      </c>
      <c r="J909" t="str">
        <f>VLOOKUP(Call_Center_Data[[#This Row],[Emp ID]], Employee[], 3, FALSE)</f>
        <v>Aurora, CO</v>
      </c>
      <c r="K909" t="str">
        <f>VLOOKUP(Call_Center_Data[[#This Row],[Emp ID]], Employee[], 4, FALSE)</f>
        <v>Henry Rhodes</v>
      </c>
      <c r="L909" t="str">
        <f>VLOOKUP(Call_Center_Data[[#This Row],[Call Type ID]], Call_Type[], 2, FALSE)</f>
        <v>Tech Sup</v>
      </c>
    </row>
    <row r="910" spans="1:12" x14ac:dyDescent="0.3">
      <c r="A910">
        <v>909</v>
      </c>
      <c r="B910">
        <v>1</v>
      </c>
      <c r="C910" s="1">
        <v>45503</v>
      </c>
      <c r="D910" s="2" t="s">
        <v>72</v>
      </c>
      <c r="E910">
        <v>0</v>
      </c>
      <c r="F910">
        <v>12</v>
      </c>
      <c r="G910">
        <v>156</v>
      </c>
      <c r="H910">
        <v>212</v>
      </c>
      <c r="I910" t="str">
        <f>VLOOKUP(Call_Center_Data[[#This Row],[Emp ID]],Employee[],2,FALSE)</f>
        <v>Ultor Pat</v>
      </c>
      <c r="J910" t="str">
        <f>VLOOKUP(Call_Center_Data[[#This Row],[Emp ID]], Employee[], 3, FALSE)</f>
        <v>Jacksonville, WA</v>
      </c>
      <c r="K910" t="str">
        <f>VLOOKUP(Call_Center_Data[[#This Row],[Emp ID]], Employee[], 4, FALSE)</f>
        <v>Jenny Hall</v>
      </c>
      <c r="L910" t="str">
        <f>VLOOKUP(Call_Center_Data[[#This Row],[Call Type ID]], Call_Type[], 2, FALSE)</f>
        <v>Billing</v>
      </c>
    </row>
    <row r="911" spans="1:12" x14ac:dyDescent="0.3">
      <c r="A911">
        <v>910</v>
      </c>
      <c r="B911">
        <v>3</v>
      </c>
      <c r="C911" s="1">
        <v>45504</v>
      </c>
      <c r="D911" s="2" t="s">
        <v>69</v>
      </c>
      <c r="E911">
        <v>0</v>
      </c>
      <c r="F911">
        <v>32</v>
      </c>
      <c r="G911">
        <v>165</v>
      </c>
      <c r="H911">
        <v>579</v>
      </c>
      <c r="I911" t="str">
        <f>VLOOKUP(Call_Center_Data[[#This Row],[Emp ID]],Employee[],2,FALSE)</f>
        <v>Sam Gilder</v>
      </c>
      <c r="J911" t="str">
        <f>VLOOKUP(Call_Center_Data[[#This Row],[Emp ID]], Employee[], 3, FALSE)</f>
        <v>Jacksonville, WA</v>
      </c>
      <c r="K911" t="str">
        <f>VLOOKUP(Call_Center_Data[[#This Row],[Emp ID]], Employee[], 4, FALSE)</f>
        <v>Timmy Hall</v>
      </c>
      <c r="L911" t="str">
        <f>VLOOKUP(Call_Center_Data[[#This Row],[Call Type ID]], Call_Type[], 2, FALSE)</f>
        <v>Tech Sup</v>
      </c>
    </row>
    <row r="912" spans="1:12" x14ac:dyDescent="0.3">
      <c r="A912">
        <v>911</v>
      </c>
      <c r="B912">
        <v>3</v>
      </c>
      <c r="C912" s="1">
        <v>45505</v>
      </c>
      <c r="D912" s="2" t="s">
        <v>75</v>
      </c>
      <c r="E912">
        <v>0</v>
      </c>
      <c r="F912">
        <v>37</v>
      </c>
      <c r="G912">
        <v>200</v>
      </c>
      <c r="H912">
        <v>1182</v>
      </c>
      <c r="I912" t="str">
        <f>VLOOKUP(Call_Center_Data[[#This Row],[Emp ID]],Employee[],2,FALSE)</f>
        <v>Gina Pat</v>
      </c>
      <c r="J912" t="str">
        <f>VLOOKUP(Call_Center_Data[[#This Row],[Emp ID]], Employee[], 3, FALSE)</f>
        <v>Spokane, WA</v>
      </c>
      <c r="K912" t="str">
        <f>VLOOKUP(Call_Center_Data[[#This Row],[Emp ID]], Employee[], 4, FALSE)</f>
        <v>Henry Hall</v>
      </c>
      <c r="L912" t="str">
        <f>VLOOKUP(Call_Center_Data[[#This Row],[Call Type ID]], Call_Type[], 2, FALSE)</f>
        <v>Tech Sup</v>
      </c>
    </row>
    <row r="913" spans="1:12" x14ac:dyDescent="0.3">
      <c r="A913">
        <v>912</v>
      </c>
      <c r="B913">
        <v>3</v>
      </c>
      <c r="C913" s="1">
        <v>45506</v>
      </c>
      <c r="D913" s="2" t="s">
        <v>86</v>
      </c>
      <c r="E913">
        <v>1</v>
      </c>
      <c r="F913">
        <v>83</v>
      </c>
      <c r="G913">
        <v>222</v>
      </c>
      <c r="H913">
        <v>724</v>
      </c>
      <c r="I913" t="str">
        <f>VLOOKUP(Call_Center_Data[[#This Row],[Emp ID]],Employee[],2,FALSE)</f>
        <v>Jill Gilder</v>
      </c>
      <c r="J913" t="str">
        <f>VLOOKUP(Call_Center_Data[[#This Row],[Emp ID]], Employee[], 3, FALSE)</f>
        <v>Aurora, CO</v>
      </c>
      <c r="K913" t="str">
        <f>VLOOKUP(Call_Center_Data[[#This Row],[Emp ID]], Employee[], 4, FALSE)</f>
        <v>Jenny Baas</v>
      </c>
      <c r="L913" t="str">
        <f>VLOOKUP(Call_Center_Data[[#This Row],[Call Type ID]], Call_Type[], 2, FALSE)</f>
        <v>Tech Sup</v>
      </c>
    </row>
    <row r="914" spans="1:12" x14ac:dyDescent="0.3">
      <c r="A914">
        <v>913</v>
      </c>
      <c r="B914">
        <v>2</v>
      </c>
      <c r="C914" s="1">
        <v>45507</v>
      </c>
      <c r="D914" s="2" t="s">
        <v>88</v>
      </c>
      <c r="E914">
        <v>0</v>
      </c>
      <c r="F914">
        <v>106</v>
      </c>
      <c r="G914">
        <v>192</v>
      </c>
      <c r="H914">
        <v>1551</v>
      </c>
      <c r="I914" t="str">
        <f>VLOOKUP(Call_Center_Data[[#This Row],[Emp ID]],Employee[],2,FALSE)</f>
        <v>Gina Gilder</v>
      </c>
      <c r="J914" t="str">
        <f>VLOOKUP(Call_Center_Data[[#This Row],[Emp ID]], Employee[], 3, FALSE)</f>
        <v>Jacksonville, WA</v>
      </c>
      <c r="K914" t="str">
        <f>VLOOKUP(Call_Center_Data[[#This Row],[Emp ID]], Employee[], 4, FALSE)</f>
        <v>Pierce Rhodes</v>
      </c>
      <c r="L914" t="str">
        <f>VLOOKUP(Call_Center_Data[[#This Row],[Call Type ID]], Call_Type[], 2, FALSE)</f>
        <v>Sales</v>
      </c>
    </row>
    <row r="915" spans="1:12" x14ac:dyDescent="0.3">
      <c r="A915">
        <v>914</v>
      </c>
      <c r="B915">
        <v>1</v>
      </c>
      <c r="C915" s="1">
        <v>45508</v>
      </c>
      <c r="D915" s="2" t="s">
        <v>88</v>
      </c>
      <c r="E915">
        <v>1</v>
      </c>
      <c r="F915">
        <v>127</v>
      </c>
      <c r="G915">
        <v>183</v>
      </c>
      <c r="H915">
        <v>943</v>
      </c>
      <c r="I915" t="str">
        <f>VLOOKUP(Call_Center_Data[[#This Row],[Emp ID]],Employee[],2,FALSE)</f>
        <v>Gina Gilder</v>
      </c>
      <c r="J915" t="str">
        <f>VLOOKUP(Call_Center_Data[[#This Row],[Emp ID]], Employee[], 3, FALSE)</f>
        <v>Jacksonville, WA</v>
      </c>
      <c r="K915" t="str">
        <f>VLOOKUP(Call_Center_Data[[#This Row],[Emp ID]], Employee[], 4, FALSE)</f>
        <v>Pierce Rhodes</v>
      </c>
      <c r="L915" t="str">
        <f>VLOOKUP(Call_Center_Data[[#This Row],[Call Type ID]], Call_Type[], 2, FALSE)</f>
        <v>Billing</v>
      </c>
    </row>
    <row r="916" spans="1:12" x14ac:dyDescent="0.3">
      <c r="A916">
        <v>915</v>
      </c>
      <c r="B916">
        <v>1</v>
      </c>
      <c r="C916" s="1">
        <v>45509</v>
      </c>
      <c r="D916" s="2" t="s">
        <v>69</v>
      </c>
      <c r="E916">
        <v>0</v>
      </c>
      <c r="F916">
        <v>16</v>
      </c>
      <c r="G916">
        <v>151</v>
      </c>
      <c r="H916">
        <v>248</v>
      </c>
      <c r="I916" t="str">
        <f>VLOOKUP(Call_Center_Data[[#This Row],[Emp ID]],Employee[],2,FALSE)</f>
        <v>Sam Gilder</v>
      </c>
      <c r="J916" t="str">
        <f>VLOOKUP(Call_Center_Data[[#This Row],[Emp ID]], Employee[], 3, FALSE)</f>
        <v>Jacksonville, WA</v>
      </c>
      <c r="K916" t="str">
        <f>VLOOKUP(Call_Center_Data[[#This Row],[Emp ID]], Employee[], 4, FALSE)</f>
        <v>Timmy Hall</v>
      </c>
      <c r="L916" t="str">
        <f>VLOOKUP(Call_Center_Data[[#This Row],[Call Type ID]], Call_Type[], 2, FALSE)</f>
        <v>Billing</v>
      </c>
    </row>
    <row r="917" spans="1:12" x14ac:dyDescent="0.3">
      <c r="A917">
        <v>916</v>
      </c>
      <c r="B917">
        <v>3</v>
      </c>
      <c r="C917" s="1">
        <v>45510</v>
      </c>
      <c r="D917" s="2" t="s">
        <v>76</v>
      </c>
      <c r="E917">
        <v>0</v>
      </c>
      <c r="F917">
        <v>56</v>
      </c>
      <c r="G917">
        <v>165</v>
      </c>
      <c r="H917">
        <v>343</v>
      </c>
      <c r="I917" t="str">
        <f>VLOOKUP(Call_Center_Data[[#This Row],[Emp ID]],Employee[],2,FALSE)</f>
        <v>Ultor Saab</v>
      </c>
      <c r="J917" t="str">
        <f>VLOOKUP(Call_Center_Data[[#This Row],[Emp ID]], Employee[], 3, FALSE)</f>
        <v>Aurora, CO</v>
      </c>
      <c r="K917" t="str">
        <f>VLOOKUP(Call_Center_Data[[#This Row],[Emp ID]], Employee[], 4, FALSE)</f>
        <v>Pierce Baas</v>
      </c>
      <c r="L917" t="str">
        <f>VLOOKUP(Call_Center_Data[[#This Row],[Call Type ID]], Call_Type[], 2, FALSE)</f>
        <v>Tech Sup</v>
      </c>
    </row>
    <row r="918" spans="1:12" x14ac:dyDescent="0.3">
      <c r="A918">
        <v>917</v>
      </c>
      <c r="B918">
        <v>3</v>
      </c>
      <c r="C918" s="1">
        <v>45511</v>
      </c>
      <c r="D918" s="2" t="s">
        <v>71</v>
      </c>
      <c r="E918">
        <v>0</v>
      </c>
      <c r="F918">
        <v>46</v>
      </c>
      <c r="G918">
        <v>188</v>
      </c>
      <c r="H918">
        <v>496</v>
      </c>
      <c r="I918" t="str">
        <f>VLOOKUP(Call_Center_Data[[#This Row],[Emp ID]],Employee[],2,FALSE)</f>
        <v>Sam Pat</v>
      </c>
      <c r="J918" t="str">
        <f>VLOOKUP(Call_Center_Data[[#This Row],[Emp ID]], Employee[], 3, FALSE)</f>
        <v>Aurora, CO</v>
      </c>
      <c r="K918" t="str">
        <f>VLOOKUP(Call_Center_Data[[#This Row],[Emp ID]], Employee[], 4, FALSE)</f>
        <v>Henry Mack</v>
      </c>
      <c r="L918" t="str">
        <f>VLOOKUP(Call_Center_Data[[#This Row],[Call Type ID]], Call_Type[], 2, FALSE)</f>
        <v>Tech Sup</v>
      </c>
    </row>
    <row r="919" spans="1:12" x14ac:dyDescent="0.3">
      <c r="A919">
        <v>918</v>
      </c>
      <c r="B919">
        <v>2</v>
      </c>
      <c r="C919" s="1">
        <v>45512</v>
      </c>
      <c r="D919" s="2" t="s">
        <v>78</v>
      </c>
      <c r="E919">
        <v>0</v>
      </c>
      <c r="F919">
        <v>89</v>
      </c>
      <c r="G919">
        <v>230</v>
      </c>
      <c r="H919">
        <v>1127</v>
      </c>
      <c r="I919" t="str">
        <f>VLOOKUP(Call_Center_Data[[#This Row],[Emp ID]],Employee[],2,FALSE)</f>
        <v>Jill Saab</v>
      </c>
      <c r="J919" t="str">
        <f>VLOOKUP(Call_Center_Data[[#This Row],[Emp ID]], Employee[], 3, FALSE)</f>
        <v>Spokane, WA</v>
      </c>
      <c r="K919" t="str">
        <f>VLOOKUP(Call_Center_Data[[#This Row],[Emp ID]], Employee[], 4, FALSE)</f>
        <v>Timmy Gill</v>
      </c>
      <c r="L919" t="str">
        <f>VLOOKUP(Call_Center_Data[[#This Row],[Call Type ID]], Call_Type[], 2, FALSE)</f>
        <v>Sales</v>
      </c>
    </row>
    <row r="920" spans="1:12" x14ac:dyDescent="0.3">
      <c r="A920">
        <v>919</v>
      </c>
      <c r="B920">
        <v>3</v>
      </c>
      <c r="C920" s="1">
        <v>45513</v>
      </c>
      <c r="D920" s="2" t="s">
        <v>66</v>
      </c>
      <c r="E920">
        <v>0</v>
      </c>
      <c r="F920">
        <v>39</v>
      </c>
      <c r="G920">
        <v>204</v>
      </c>
      <c r="H920">
        <v>310</v>
      </c>
      <c r="I920" t="str">
        <f>VLOOKUP(Call_Center_Data[[#This Row],[Emp ID]],Employee[],2,FALSE)</f>
        <v>Tina John</v>
      </c>
      <c r="J920" t="str">
        <f>VLOOKUP(Call_Center_Data[[#This Row],[Emp ID]], Employee[], 3, FALSE)</f>
        <v>Aurora, CO</v>
      </c>
      <c r="K920" t="str">
        <f>VLOOKUP(Call_Center_Data[[#This Row],[Emp ID]], Employee[], 4, FALSE)</f>
        <v>Timmy Rhodes</v>
      </c>
      <c r="L920" t="str">
        <f>VLOOKUP(Call_Center_Data[[#This Row],[Call Type ID]], Call_Type[], 2, FALSE)</f>
        <v>Tech Sup</v>
      </c>
    </row>
    <row r="921" spans="1:12" x14ac:dyDescent="0.3">
      <c r="A921">
        <v>920</v>
      </c>
      <c r="B921">
        <v>3</v>
      </c>
      <c r="C921" s="1">
        <v>45514</v>
      </c>
      <c r="D921" s="2" t="s">
        <v>74</v>
      </c>
      <c r="E921">
        <v>1</v>
      </c>
      <c r="F921">
        <v>41</v>
      </c>
      <c r="G921">
        <v>193</v>
      </c>
      <c r="H921">
        <v>310</v>
      </c>
      <c r="I921" t="str">
        <f>VLOOKUP(Call_Center_Data[[#This Row],[Emp ID]],Employee[],2,FALSE)</f>
        <v>Gina John</v>
      </c>
      <c r="J921" t="str">
        <f>VLOOKUP(Call_Center_Data[[#This Row],[Emp ID]], Employee[], 3, FALSE)</f>
        <v>Jacksonville, WA</v>
      </c>
      <c r="K921" t="str">
        <f>VLOOKUP(Call_Center_Data[[#This Row],[Emp ID]], Employee[], 4, FALSE)</f>
        <v>Henry Gill</v>
      </c>
      <c r="L921" t="str">
        <f>VLOOKUP(Call_Center_Data[[#This Row],[Call Type ID]], Call_Type[], 2, FALSE)</f>
        <v>Tech Sup</v>
      </c>
    </row>
    <row r="922" spans="1:12" x14ac:dyDescent="0.3">
      <c r="A922">
        <v>921</v>
      </c>
      <c r="B922">
        <v>2</v>
      </c>
      <c r="C922" s="1">
        <v>45515</v>
      </c>
      <c r="D922" s="2" t="s">
        <v>87</v>
      </c>
      <c r="E922">
        <v>0</v>
      </c>
      <c r="F922">
        <v>41</v>
      </c>
      <c r="G922">
        <v>187</v>
      </c>
      <c r="H922">
        <v>200</v>
      </c>
      <c r="I922" t="str">
        <f>VLOOKUP(Call_Center_Data[[#This Row],[Emp ID]],Employee[],2,FALSE)</f>
        <v>Gina Saab</v>
      </c>
      <c r="J922" t="str">
        <f>VLOOKUP(Call_Center_Data[[#This Row],[Emp ID]], Employee[], 3, FALSE)</f>
        <v>Jacksonville, WA</v>
      </c>
      <c r="K922" t="str">
        <f>VLOOKUP(Call_Center_Data[[#This Row],[Emp ID]], Employee[], 4, FALSE)</f>
        <v>Jenny Gill</v>
      </c>
      <c r="L922" t="str">
        <f>VLOOKUP(Call_Center_Data[[#This Row],[Call Type ID]], Call_Type[], 2, FALSE)</f>
        <v>Sales</v>
      </c>
    </row>
    <row r="923" spans="1:12" x14ac:dyDescent="0.3">
      <c r="A923">
        <v>922</v>
      </c>
      <c r="B923">
        <v>3</v>
      </c>
      <c r="C923" s="1">
        <v>45516</v>
      </c>
      <c r="D923" s="2" t="s">
        <v>81</v>
      </c>
      <c r="E923">
        <v>0</v>
      </c>
      <c r="F923">
        <v>11</v>
      </c>
      <c r="G923">
        <v>189</v>
      </c>
      <c r="H923">
        <v>249</v>
      </c>
      <c r="I923" t="str">
        <f>VLOOKUP(Call_Center_Data[[#This Row],[Emp ID]],Employee[],2,FALSE)</f>
        <v>Sam Simons</v>
      </c>
      <c r="J923" t="str">
        <f>VLOOKUP(Call_Center_Data[[#This Row],[Emp ID]], Employee[], 3, FALSE)</f>
        <v>Jacksonville, WA</v>
      </c>
      <c r="K923" t="str">
        <f>VLOOKUP(Call_Center_Data[[#This Row],[Emp ID]], Employee[], 4, FALSE)</f>
        <v>John Baas</v>
      </c>
      <c r="L923" t="str">
        <f>VLOOKUP(Call_Center_Data[[#This Row],[Call Type ID]], Call_Type[], 2, FALSE)</f>
        <v>Tech Sup</v>
      </c>
    </row>
    <row r="924" spans="1:12" x14ac:dyDescent="0.3">
      <c r="A924">
        <v>923</v>
      </c>
      <c r="B924">
        <v>1</v>
      </c>
      <c r="C924" s="1">
        <v>45517</v>
      </c>
      <c r="D924" s="2" t="s">
        <v>65</v>
      </c>
      <c r="E924">
        <v>1</v>
      </c>
      <c r="F924">
        <v>32</v>
      </c>
      <c r="G924">
        <v>188</v>
      </c>
      <c r="H924">
        <v>434</v>
      </c>
      <c r="I924" t="str">
        <f>VLOOKUP(Call_Center_Data[[#This Row],[Emp ID]],Employee[],2,FALSE)</f>
        <v>Ultor John</v>
      </c>
      <c r="J924" t="str">
        <f>VLOOKUP(Call_Center_Data[[#This Row],[Emp ID]], Employee[], 3, FALSE)</f>
        <v>Spokane, WA</v>
      </c>
      <c r="K924" t="str">
        <f>VLOOKUP(Call_Center_Data[[#This Row],[Emp ID]], Employee[], 4, FALSE)</f>
        <v>John Mack</v>
      </c>
      <c r="L924" t="str">
        <f>VLOOKUP(Call_Center_Data[[#This Row],[Call Type ID]], Call_Type[], 2, FALSE)</f>
        <v>Billing</v>
      </c>
    </row>
    <row r="925" spans="1:12" x14ac:dyDescent="0.3">
      <c r="A925">
        <v>924</v>
      </c>
      <c r="B925">
        <v>3</v>
      </c>
      <c r="C925" s="1">
        <v>45518</v>
      </c>
      <c r="D925" s="2" t="s">
        <v>64</v>
      </c>
      <c r="E925">
        <v>1</v>
      </c>
      <c r="F925">
        <v>34</v>
      </c>
      <c r="G925">
        <v>182</v>
      </c>
      <c r="H925">
        <v>211</v>
      </c>
      <c r="I925" t="str">
        <f>VLOOKUP(Call_Center_Data[[#This Row],[Emp ID]],Employee[],2,FALSE)</f>
        <v>Jill Simons</v>
      </c>
      <c r="J925" t="str">
        <f>VLOOKUP(Call_Center_Data[[#This Row],[Emp ID]], Employee[], 3, FALSE)</f>
        <v>Spokane, WA</v>
      </c>
      <c r="K925" t="str">
        <f>VLOOKUP(Call_Center_Data[[#This Row],[Emp ID]], Employee[], 4, FALSE)</f>
        <v>Jenny Rhodes</v>
      </c>
      <c r="L925" t="str">
        <f>VLOOKUP(Call_Center_Data[[#This Row],[Call Type ID]], Call_Type[], 2, FALSE)</f>
        <v>Tech Sup</v>
      </c>
    </row>
    <row r="926" spans="1:12" x14ac:dyDescent="0.3">
      <c r="A926">
        <v>925</v>
      </c>
      <c r="B926">
        <v>3</v>
      </c>
      <c r="C926" s="1">
        <v>45519</v>
      </c>
      <c r="D926" s="2" t="s">
        <v>78</v>
      </c>
      <c r="E926">
        <v>0</v>
      </c>
      <c r="F926">
        <v>25</v>
      </c>
      <c r="G926">
        <v>177</v>
      </c>
      <c r="H926">
        <v>252</v>
      </c>
      <c r="I926" t="str">
        <f>VLOOKUP(Call_Center_Data[[#This Row],[Emp ID]],Employee[],2,FALSE)</f>
        <v>Jill Saab</v>
      </c>
      <c r="J926" t="str">
        <f>VLOOKUP(Call_Center_Data[[#This Row],[Emp ID]], Employee[], 3, FALSE)</f>
        <v>Spokane, WA</v>
      </c>
      <c r="K926" t="str">
        <f>VLOOKUP(Call_Center_Data[[#This Row],[Emp ID]], Employee[], 4, FALSE)</f>
        <v>Timmy Gill</v>
      </c>
      <c r="L926" t="str">
        <f>VLOOKUP(Call_Center_Data[[#This Row],[Call Type ID]], Call_Type[], 2, FALSE)</f>
        <v>Tech Sup</v>
      </c>
    </row>
    <row r="927" spans="1:12" x14ac:dyDescent="0.3">
      <c r="A927">
        <v>926</v>
      </c>
      <c r="B927">
        <v>1</v>
      </c>
      <c r="C927" s="1">
        <v>45520</v>
      </c>
      <c r="D927" s="2" t="s">
        <v>75</v>
      </c>
      <c r="E927">
        <v>0</v>
      </c>
      <c r="F927">
        <v>18</v>
      </c>
      <c r="G927">
        <v>167</v>
      </c>
      <c r="H927">
        <v>249</v>
      </c>
      <c r="I927" t="str">
        <f>VLOOKUP(Call_Center_Data[[#This Row],[Emp ID]],Employee[],2,FALSE)</f>
        <v>Gina Pat</v>
      </c>
      <c r="J927" t="str">
        <f>VLOOKUP(Call_Center_Data[[#This Row],[Emp ID]], Employee[], 3, FALSE)</f>
        <v>Spokane, WA</v>
      </c>
      <c r="K927" t="str">
        <f>VLOOKUP(Call_Center_Data[[#This Row],[Emp ID]], Employee[], 4, FALSE)</f>
        <v>Henry Hall</v>
      </c>
      <c r="L927" t="str">
        <f>VLOOKUP(Call_Center_Data[[#This Row],[Call Type ID]], Call_Type[], 2, FALSE)</f>
        <v>Billing</v>
      </c>
    </row>
    <row r="928" spans="1:12" x14ac:dyDescent="0.3">
      <c r="A928">
        <v>927</v>
      </c>
      <c r="B928">
        <v>3</v>
      </c>
      <c r="C928" s="1">
        <v>45521</v>
      </c>
      <c r="D928" s="2" t="s">
        <v>88</v>
      </c>
      <c r="E928">
        <v>1</v>
      </c>
      <c r="F928">
        <v>18</v>
      </c>
      <c r="G928">
        <v>161</v>
      </c>
      <c r="H928">
        <v>371</v>
      </c>
      <c r="I928" t="str">
        <f>VLOOKUP(Call_Center_Data[[#This Row],[Emp ID]],Employee[],2,FALSE)</f>
        <v>Gina Gilder</v>
      </c>
      <c r="J928" t="str">
        <f>VLOOKUP(Call_Center_Data[[#This Row],[Emp ID]], Employee[], 3, FALSE)</f>
        <v>Jacksonville, WA</v>
      </c>
      <c r="K928" t="str">
        <f>VLOOKUP(Call_Center_Data[[#This Row],[Emp ID]], Employee[], 4, FALSE)</f>
        <v>Pierce Rhodes</v>
      </c>
      <c r="L928" t="str">
        <f>VLOOKUP(Call_Center_Data[[#This Row],[Call Type ID]], Call_Type[], 2, FALSE)</f>
        <v>Tech Sup</v>
      </c>
    </row>
    <row r="929" spans="1:12" x14ac:dyDescent="0.3">
      <c r="A929">
        <v>928</v>
      </c>
      <c r="B929">
        <v>3</v>
      </c>
      <c r="C929" s="1">
        <v>45522</v>
      </c>
      <c r="D929" s="2" t="s">
        <v>76</v>
      </c>
      <c r="E929">
        <v>0</v>
      </c>
      <c r="F929">
        <v>37</v>
      </c>
      <c r="G929">
        <v>169</v>
      </c>
      <c r="H929">
        <v>371</v>
      </c>
      <c r="I929" t="str">
        <f>VLOOKUP(Call_Center_Data[[#This Row],[Emp ID]],Employee[],2,FALSE)</f>
        <v>Ultor Saab</v>
      </c>
      <c r="J929" t="str">
        <f>VLOOKUP(Call_Center_Data[[#This Row],[Emp ID]], Employee[], 3, FALSE)</f>
        <v>Aurora, CO</v>
      </c>
      <c r="K929" t="str">
        <f>VLOOKUP(Call_Center_Data[[#This Row],[Emp ID]], Employee[], 4, FALSE)</f>
        <v>Pierce Baas</v>
      </c>
      <c r="L929" t="str">
        <f>VLOOKUP(Call_Center_Data[[#This Row],[Call Type ID]], Call_Type[], 2, FALSE)</f>
        <v>Tech Sup</v>
      </c>
    </row>
    <row r="930" spans="1:12" x14ac:dyDescent="0.3">
      <c r="A930">
        <v>929</v>
      </c>
      <c r="B930">
        <v>1</v>
      </c>
      <c r="C930" s="1">
        <v>45523</v>
      </c>
      <c r="D930" s="2" t="s">
        <v>76</v>
      </c>
      <c r="E930">
        <v>1</v>
      </c>
      <c r="F930">
        <v>10</v>
      </c>
      <c r="G930">
        <v>201</v>
      </c>
      <c r="H930">
        <v>49</v>
      </c>
      <c r="I930" t="str">
        <f>VLOOKUP(Call_Center_Data[[#This Row],[Emp ID]],Employee[],2,FALSE)</f>
        <v>Ultor Saab</v>
      </c>
      <c r="J930" t="str">
        <f>VLOOKUP(Call_Center_Data[[#This Row],[Emp ID]], Employee[], 3, FALSE)</f>
        <v>Aurora, CO</v>
      </c>
      <c r="K930" t="str">
        <f>VLOOKUP(Call_Center_Data[[#This Row],[Emp ID]], Employee[], 4, FALSE)</f>
        <v>Pierce Baas</v>
      </c>
      <c r="L930" t="str">
        <f>VLOOKUP(Call_Center_Data[[#This Row],[Call Type ID]], Call_Type[], 2, FALSE)</f>
        <v>Billing</v>
      </c>
    </row>
    <row r="931" spans="1:12" x14ac:dyDescent="0.3">
      <c r="A931">
        <v>930</v>
      </c>
      <c r="B931">
        <v>2</v>
      </c>
      <c r="C931" s="1">
        <v>45524</v>
      </c>
      <c r="D931" s="2" t="s">
        <v>65</v>
      </c>
      <c r="E931">
        <v>1</v>
      </c>
      <c r="F931">
        <v>33</v>
      </c>
      <c r="G931">
        <v>181</v>
      </c>
      <c r="H931">
        <v>254</v>
      </c>
      <c r="I931" t="str">
        <f>VLOOKUP(Call_Center_Data[[#This Row],[Emp ID]],Employee[],2,FALSE)</f>
        <v>Ultor John</v>
      </c>
      <c r="J931" t="str">
        <f>VLOOKUP(Call_Center_Data[[#This Row],[Emp ID]], Employee[], 3, FALSE)</f>
        <v>Spokane, WA</v>
      </c>
      <c r="K931" t="str">
        <f>VLOOKUP(Call_Center_Data[[#This Row],[Emp ID]], Employee[], 4, FALSE)</f>
        <v>John Mack</v>
      </c>
      <c r="L931" t="str">
        <f>VLOOKUP(Call_Center_Data[[#This Row],[Call Type ID]], Call_Type[], 2, FALSE)</f>
        <v>Sales</v>
      </c>
    </row>
    <row r="932" spans="1:12" x14ac:dyDescent="0.3">
      <c r="A932">
        <v>931</v>
      </c>
      <c r="B932">
        <v>3</v>
      </c>
      <c r="C932" s="1">
        <v>45525</v>
      </c>
      <c r="D932" s="2" t="s">
        <v>66</v>
      </c>
      <c r="E932">
        <v>0</v>
      </c>
      <c r="F932">
        <v>23</v>
      </c>
      <c r="G932">
        <v>159</v>
      </c>
      <c r="H932">
        <v>158</v>
      </c>
      <c r="I932" t="str">
        <f>VLOOKUP(Call_Center_Data[[#This Row],[Emp ID]],Employee[],2,FALSE)</f>
        <v>Tina John</v>
      </c>
      <c r="J932" t="str">
        <f>VLOOKUP(Call_Center_Data[[#This Row],[Emp ID]], Employee[], 3, FALSE)</f>
        <v>Aurora, CO</v>
      </c>
      <c r="K932" t="str">
        <f>VLOOKUP(Call_Center_Data[[#This Row],[Emp ID]], Employee[], 4, FALSE)</f>
        <v>Timmy Rhodes</v>
      </c>
      <c r="L932" t="str">
        <f>VLOOKUP(Call_Center_Data[[#This Row],[Call Type ID]], Call_Type[], 2, FALSE)</f>
        <v>Tech Sup</v>
      </c>
    </row>
    <row r="933" spans="1:12" x14ac:dyDescent="0.3">
      <c r="A933">
        <v>932</v>
      </c>
      <c r="B933">
        <v>3</v>
      </c>
      <c r="C933" s="1">
        <v>45526</v>
      </c>
      <c r="D933" s="2" t="s">
        <v>86</v>
      </c>
      <c r="E933">
        <v>1</v>
      </c>
      <c r="F933">
        <v>20</v>
      </c>
      <c r="G933">
        <v>141</v>
      </c>
      <c r="H933">
        <v>189</v>
      </c>
      <c r="I933" t="str">
        <f>VLOOKUP(Call_Center_Data[[#This Row],[Emp ID]],Employee[],2,FALSE)</f>
        <v>Jill Gilder</v>
      </c>
      <c r="J933" t="str">
        <f>VLOOKUP(Call_Center_Data[[#This Row],[Emp ID]], Employee[], 3, FALSE)</f>
        <v>Aurora, CO</v>
      </c>
      <c r="K933" t="str">
        <f>VLOOKUP(Call_Center_Data[[#This Row],[Emp ID]], Employee[], 4, FALSE)</f>
        <v>Jenny Baas</v>
      </c>
      <c r="L933" t="str">
        <f>VLOOKUP(Call_Center_Data[[#This Row],[Call Type ID]], Call_Type[], 2, FALSE)</f>
        <v>Tech Sup</v>
      </c>
    </row>
    <row r="934" spans="1:12" x14ac:dyDescent="0.3">
      <c r="A934">
        <v>933</v>
      </c>
      <c r="B934">
        <v>3</v>
      </c>
      <c r="C934" s="1">
        <v>45527</v>
      </c>
      <c r="D934" s="2" t="s">
        <v>82</v>
      </c>
      <c r="E934">
        <v>0</v>
      </c>
      <c r="F934">
        <v>28</v>
      </c>
      <c r="G934">
        <v>157</v>
      </c>
      <c r="H934">
        <v>174</v>
      </c>
      <c r="I934" t="str">
        <f>VLOOKUP(Call_Center_Data[[#This Row],[Emp ID]],Employee[],2,FALSE)</f>
        <v>Ultor Gilder</v>
      </c>
      <c r="J934" t="str">
        <f>VLOOKUP(Call_Center_Data[[#This Row],[Emp ID]], Employee[], 3, FALSE)</f>
        <v>Aurora, CO</v>
      </c>
      <c r="K934" t="str">
        <f>VLOOKUP(Call_Center_Data[[#This Row],[Emp ID]], Employee[], 4, FALSE)</f>
        <v>Pierce Mack</v>
      </c>
      <c r="L934" t="str">
        <f>VLOOKUP(Call_Center_Data[[#This Row],[Call Type ID]], Call_Type[], 2, FALSE)</f>
        <v>Tech Sup</v>
      </c>
    </row>
    <row r="935" spans="1:12" x14ac:dyDescent="0.3">
      <c r="A935">
        <v>934</v>
      </c>
      <c r="B935">
        <v>1</v>
      </c>
      <c r="C935" s="1">
        <v>45528</v>
      </c>
      <c r="D935" s="2" t="s">
        <v>68</v>
      </c>
      <c r="E935">
        <v>1</v>
      </c>
      <c r="F935">
        <v>33</v>
      </c>
      <c r="G935">
        <v>164</v>
      </c>
      <c r="H935">
        <v>399</v>
      </c>
      <c r="I935" t="str">
        <f>VLOOKUP(Call_Center_Data[[#This Row],[Emp ID]],Employee[],2,FALSE)</f>
        <v>Tina Saab</v>
      </c>
      <c r="J935" t="str">
        <f>VLOOKUP(Call_Center_Data[[#This Row],[Emp ID]], Employee[], 3, FALSE)</f>
        <v>Spokane, WA</v>
      </c>
      <c r="K935" t="str">
        <f>VLOOKUP(Call_Center_Data[[#This Row],[Emp ID]], Employee[], 4, FALSE)</f>
        <v>Henry Baas</v>
      </c>
      <c r="L935" t="str">
        <f>VLOOKUP(Call_Center_Data[[#This Row],[Call Type ID]], Call_Type[], 2, FALSE)</f>
        <v>Billing</v>
      </c>
    </row>
    <row r="936" spans="1:12" x14ac:dyDescent="0.3">
      <c r="A936">
        <v>935</v>
      </c>
      <c r="B936">
        <v>3</v>
      </c>
      <c r="C936" s="1">
        <v>45529</v>
      </c>
      <c r="D936" s="2" t="s">
        <v>75</v>
      </c>
      <c r="E936">
        <v>0</v>
      </c>
      <c r="F936">
        <v>17</v>
      </c>
      <c r="G936">
        <v>166</v>
      </c>
      <c r="H936">
        <v>189</v>
      </c>
      <c r="I936" t="str">
        <f>VLOOKUP(Call_Center_Data[[#This Row],[Emp ID]],Employee[],2,FALSE)</f>
        <v>Gina Pat</v>
      </c>
      <c r="J936" t="str">
        <f>VLOOKUP(Call_Center_Data[[#This Row],[Emp ID]], Employee[], 3, FALSE)</f>
        <v>Spokane, WA</v>
      </c>
      <c r="K936" t="str">
        <f>VLOOKUP(Call_Center_Data[[#This Row],[Emp ID]], Employee[], 4, FALSE)</f>
        <v>Henry Hall</v>
      </c>
      <c r="L936" t="str">
        <f>VLOOKUP(Call_Center_Data[[#This Row],[Call Type ID]], Call_Type[], 2, FALSE)</f>
        <v>Tech Sup</v>
      </c>
    </row>
    <row r="937" spans="1:12" x14ac:dyDescent="0.3">
      <c r="A937">
        <v>936</v>
      </c>
      <c r="B937">
        <v>3</v>
      </c>
      <c r="C937" s="1">
        <v>45530</v>
      </c>
      <c r="D937" s="2" t="s">
        <v>80</v>
      </c>
      <c r="E937">
        <v>0</v>
      </c>
      <c r="F937">
        <v>18</v>
      </c>
      <c r="G937">
        <v>129</v>
      </c>
      <c r="H937">
        <v>187</v>
      </c>
      <c r="I937" t="str">
        <f>VLOOKUP(Call_Center_Data[[#This Row],[Emp ID]],Employee[],2,FALSE)</f>
        <v>Tina Simons</v>
      </c>
      <c r="J937" t="str">
        <f>VLOOKUP(Call_Center_Data[[#This Row],[Emp ID]], Employee[], 3, FALSE)</f>
        <v>Aurora, CO</v>
      </c>
      <c r="K937" t="str">
        <f>VLOOKUP(Call_Center_Data[[#This Row],[Emp ID]], Employee[], 4, FALSE)</f>
        <v>Pierce Gill</v>
      </c>
      <c r="L937" t="str">
        <f>VLOOKUP(Call_Center_Data[[#This Row],[Call Type ID]], Call_Type[], 2, FALSE)</f>
        <v>Tech Sup</v>
      </c>
    </row>
    <row r="938" spans="1:12" x14ac:dyDescent="0.3">
      <c r="A938">
        <v>937</v>
      </c>
      <c r="B938">
        <v>1</v>
      </c>
      <c r="C938" s="1">
        <v>45531</v>
      </c>
      <c r="D938" s="2" t="s">
        <v>75</v>
      </c>
      <c r="E938">
        <v>1</v>
      </c>
      <c r="F938">
        <v>18</v>
      </c>
      <c r="G938">
        <v>177</v>
      </c>
      <c r="H938">
        <v>372</v>
      </c>
      <c r="I938" t="str">
        <f>VLOOKUP(Call_Center_Data[[#This Row],[Emp ID]],Employee[],2,FALSE)</f>
        <v>Gina Pat</v>
      </c>
      <c r="J938" t="str">
        <f>VLOOKUP(Call_Center_Data[[#This Row],[Emp ID]], Employee[], 3, FALSE)</f>
        <v>Spokane, WA</v>
      </c>
      <c r="K938" t="str">
        <f>VLOOKUP(Call_Center_Data[[#This Row],[Emp ID]], Employee[], 4, FALSE)</f>
        <v>Henry Hall</v>
      </c>
      <c r="L938" t="str">
        <f>VLOOKUP(Call_Center_Data[[#This Row],[Call Type ID]], Call_Type[], 2, FALSE)</f>
        <v>Billing</v>
      </c>
    </row>
    <row r="939" spans="1:12" x14ac:dyDescent="0.3">
      <c r="A939">
        <v>938</v>
      </c>
      <c r="B939">
        <v>2</v>
      </c>
      <c r="C939" s="1">
        <v>45532</v>
      </c>
      <c r="D939" s="2" t="s">
        <v>65</v>
      </c>
      <c r="E939">
        <v>1</v>
      </c>
      <c r="F939">
        <v>9</v>
      </c>
      <c r="G939">
        <v>163</v>
      </c>
      <c r="H939">
        <v>177</v>
      </c>
      <c r="I939" t="str">
        <f>VLOOKUP(Call_Center_Data[[#This Row],[Emp ID]],Employee[],2,FALSE)</f>
        <v>Ultor John</v>
      </c>
      <c r="J939" t="str">
        <f>VLOOKUP(Call_Center_Data[[#This Row],[Emp ID]], Employee[], 3, FALSE)</f>
        <v>Spokane, WA</v>
      </c>
      <c r="K939" t="str">
        <f>VLOOKUP(Call_Center_Data[[#This Row],[Emp ID]], Employee[], 4, FALSE)</f>
        <v>John Mack</v>
      </c>
      <c r="L939" t="str">
        <f>VLOOKUP(Call_Center_Data[[#This Row],[Call Type ID]], Call_Type[], 2, FALSE)</f>
        <v>Sales</v>
      </c>
    </row>
    <row r="940" spans="1:12" x14ac:dyDescent="0.3">
      <c r="A940">
        <v>939</v>
      </c>
      <c r="B940">
        <v>2</v>
      </c>
      <c r="C940" s="1">
        <v>45533</v>
      </c>
      <c r="D940" s="2" t="s">
        <v>81</v>
      </c>
      <c r="E940">
        <v>0</v>
      </c>
      <c r="F940">
        <v>17</v>
      </c>
      <c r="G940">
        <v>160</v>
      </c>
      <c r="H940">
        <v>230</v>
      </c>
      <c r="I940" t="str">
        <f>VLOOKUP(Call_Center_Data[[#This Row],[Emp ID]],Employee[],2,FALSE)</f>
        <v>Sam Simons</v>
      </c>
      <c r="J940" t="str">
        <f>VLOOKUP(Call_Center_Data[[#This Row],[Emp ID]], Employee[], 3, FALSE)</f>
        <v>Jacksonville, WA</v>
      </c>
      <c r="K940" t="str">
        <f>VLOOKUP(Call_Center_Data[[#This Row],[Emp ID]], Employee[], 4, FALSE)</f>
        <v>John Baas</v>
      </c>
      <c r="L940" t="str">
        <f>VLOOKUP(Call_Center_Data[[#This Row],[Call Type ID]], Call_Type[], 2, FALSE)</f>
        <v>Sales</v>
      </c>
    </row>
    <row r="941" spans="1:12" x14ac:dyDescent="0.3">
      <c r="A941">
        <v>940</v>
      </c>
      <c r="B941">
        <v>2</v>
      </c>
      <c r="C941" s="1">
        <v>45534</v>
      </c>
      <c r="D941" s="2" t="s">
        <v>64</v>
      </c>
      <c r="E941">
        <v>1</v>
      </c>
      <c r="F941">
        <v>12</v>
      </c>
      <c r="G941">
        <v>166</v>
      </c>
      <c r="H941">
        <v>284</v>
      </c>
      <c r="I941" t="str">
        <f>VLOOKUP(Call_Center_Data[[#This Row],[Emp ID]],Employee[],2,FALSE)</f>
        <v>Jill Simons</v>
      </c>
      <c r="J941" t="str">
        <f>VLOOKUP(Call_Center_Data[[#This Row],[Emp ID]], Employee[], 3, FALSE)</f>
        <v>Spokane, WA</v>
      </c>
      <c r="K941" t="str">
        <f>VLOOKUP(Call_Center_Data[[#This Row],[Emp ID]], Employee[], 4, FALSE)</f>
        <v>Jenny Rhodes</v>
      </c>
      <c r="L941" t="str">
        <f>VLOOKUP(Call_Center_Data[[#This Row],[Call Type ID]], Call_Type[], 2, FALSE)</f>
        <v>Sales</v>
      </c>
    </row>
    <row r="942" spans="1:12" x14ac:dyDescent="0.3">
      <c r="A942">
        <v>941</v>
      </c>
      <c r="B942">
        <v>3</v>
      </c>
      <c r="C942" s="1">
        <v>45535</v>
      </c>
      <c r="D942" s="2" t="s">
        <v>85</v>
      </c>
      <c r="E942">
        <v>1</v>
      </c>
      <c r="F942">
        <v>17</v>
      </c>
      <c r="G942">
        <v>171</v>
      </c>
      <c r="H942">
        <v>248</v>
      </c>
      <c r="I942" t="str">
        <f>VLOOKUP(Call_Center_Data[[#This Row],[Emp ID]],Employee[],2,FALSE)</f>
        <v>Tina Gilder</v>
      </c>
      <c r="J942" t="str">
        <f>VLOOKUP(Call_Center_Data[[#This Row],[Emp ID]], Employee[], 3, FALSE)</f>
        <v>Spokane, WA</v>
      </c>
      <c r="K942" t="str">
        <f>VLOOKUP(Call_Center_Data[[#This Row],[Emp ID]], Employee[], 4, FALSE)</f>
        <v>Timmy Baas</v>
      </c>
      <c r="L942" t="str">
        <f>VLOOKUP(Call_Center_Data[[#This Row],[Call Type ID]], Call_Type[], 2, FALSE)</f>
        <v>Tech Sup</v>
      </c>
    </row>
    <row r="943" spans="1:12" x14ac:dyDescent="0.3">
      <c r="A943">
        <v>942</v>
      </c>
      <c r="B943">
        <v>3</v>
      </c>
      <c r="C943" s="1">
        <v>45536</v>
      </c>
      <c r="D943" s="2" t="s">
        <v>66</v>
      </c>
      <c r="E943">
        <v>0</v>
      </c>
      <c r="F943">
        <v>24</v>
      </c>
      <c r="G943">
        <v>191</v>
      </c>
      <c r="H943">
        <v>187</v>
      </c>
      <c r="I943" t="str">
        <f>VLOOKUP(Call_Center_Data[[#This Row],[Emp ID]],Employee[],2,FALSE)</f>
        <v>Tina John</v>
      </c>
      <c r="J943" t="str">
        <f>VLOOKUP(Call_Center_Data[[#This Row],[Emp ID]], Employee[], 3, FALSE)</f>
        <v>Aurora, CO</v>
      </c>
      <c r="K943" t="str">
        <f>VLOOKUP(Call_Center_Data[[#This Row],[Emp ID]], Employee[], 4, FALSE)</f>
        <v>Timmy Rhodes</v>
      </c>
      <c r="L943" t="str">
        <f>VLOOKUP(Call_Center_Data[[#This Row],[Call Type ID]], Call_Type[], 2, FALSE)</f>
        <v>Tech Sup</v>
      </c>
    </row>
    <row r="944" spans="1:12" x14ac:dyDescent="0.3">
      <c r="A944">
        <v>943</v>
      </c>
      <c r="B944">
        <v>2</v>
      </c>
      <c r="C944" s="1">
        <v>45537</v>
      </c>
      <c r="D944" s="2" t="s">
        <v>65</v>
      </c>
      <c r="E944">
        <v>0</v>
      </c>
      <c r="F944">
        <v>24</v>
      </c>
      <c r="G944">
        <v>183</v>
      </c>
      <c r="H944">
        <v>117</v>
      </c>
      <c r="I944" t="str">
        <f>VLOOKUP(Call_Center_Data[[#This Row],[Emp ID]],Employee[],2,FALSE)</f>
        <v>Ultor John</v>
      </c>
      <c r="J944" t="str">
        <f>VLOOKUP(Call_Center_Data[[#This Row],[Emp ID]], Employee[], 3, FALSE)</f>
        <v>Spokane, WA</v>
      </c>
      <c r="K944" t="str">
        <f>VLOOKUP(Call_Center_Data[[#This Row],[Emp ID]], Employee[], 4, FALSE)</f>
        <v>John Mack</v>
      </c>
      <c r="L944" t="str">
        <f>VLOOKUP(Call_Center_Data[[#This Row],[Call Type ID]], Call_Type[], 2, FALSE)</f>
        <v>Sales</v>
      </c>
    </row>
    <row r="945" spans="1:12" x14ac:dyDescent="0.3">
      <c r="A945">
        <v>944</v>
      </c>
      <c r="B945">
        <v>1</v>
      </c>
      <c r="C945" s="1">
        <v>45538</v>
      </c>
      <c r="D945" s="2" t="s">
        <v>74</v>
      </c>
      <c r="E945">
        <v>1</v>
      </c>
      <c r="F945">
        <v>16</v>
      </c>
      <c r="G945">
        <v>167</v>
      </c>
      <c r="H945">
        <v>128</v>
      </c>
      <c r="I945" t="str">
        <f>VLOOKUP(Call_Center_Data[[#This Row],[Emp ID]],Employee[],2,FALSE)</f>
        <v>Gina John</v>
      </c>
      <c r="J945" t="str">
        <f>VLOOKUP(Call_Center_Data[[#This Row],[Emp ID]], Employee[], 3, FALSE)</f>
        <v>Jacksonville, WA</v>
      </c>
      <c r="K945" t="str">
        <f>VLOOKUP(Call_Center_Data[[#This Row],[Emp ID]], Employee[], 4, FALSE)</f>
        <v>Henry Gill</v>
      </c>
      <c r="L945" t="str">
        <f>VLOOKUP(Call_Center_Data[[#This Row],[Call Type ID]], Call_Type[], 2, FALSE)</f>
        <v>Billing</v>
      </c>
    </row>
    <row r="946" spans="1:12" x14ac:dyDescent="0.3">
      <c r="A946">
        <v>945</v>
      </c>
      <c r="B946">
        <v>3</v>
      </c>
      <c r="C946" s="1">
        <v>45539</v>
      </c>
      <c r="D946" s="2" t="s">
        <v>79</v>
      </c>
      <c r="E946">
        <v>0</v>
      </c>
      <c r="F946">
        <v>21</v>
      </c>
      <c r="G946">
        <v>182</v>
      </c>
      <c r="H946">
        <v>227</v>
      </c>
      <c r="I946" t="str">
        <f>VLOOKUP(Call_Center_Data[[#This Row],[Emp ID]],Employee[],2,FALSE)</f>
        <v>Gina Simons</v>
      </c>
      <c r="J946" t="str">
        <f>VLOOKUP(Call_Center_Data[[#This Row],[Emp ID]], Employee[], 3, FALSE)</f>
        <v>Spokane, WA</v>
      </c>
      <c r="K946" t="str">
        <f>VLOOKUP(Call_Center_Data[[#This Row],[Emp ID]], Employee[], 4, FALSE)</f>
        <v>John Rhodes</v>
      </c>
      <c r="L946" t="str">
        <f>VLOOKUP(Call_Center_Data[[#This Row],[Call Type ID]], Call_Type[], 2, FALSE)</f>
        <v>Tech Sup</v>
      </c>
    </row>
    <row r="947" spans="1:12" x14ac:dyDescent="0.3">
      <c r="A947">
        <v>946</v>
      </c>
      <c r="B947">
        <v>3</v>
      </c>
      <c r="C947" s="1">
        <v>45540</v>
      </c>
      <c r="D947" s="2" t="s">
        <v>77</v>
      </c>
      <c r="E947">
        <v>1</v>
      </c>
      <c r="F947">
        <v>17</v>
      </c>
      <c r="G947">
        <v>178</v>
      </c>
      <c r="H947">
        <v>220</v>
      </c>
      <c r="I947" t="str">
        <f>VLOOKUP(Call_Center_Data[[#This Row],[Emp ID]],Employee[],2,FALSE)</f>
        <v>Sam Saab</v>
      </c>
      <c r="J947" t="str">
        <f>VLOOKUP(Call_Center_Data[[#This Row],[Emp ID]], Employee[], 3, FALSE)</f>
        <v>Aurora, CO</v>
      </c>
      <c r="K947" t="str">
        <f>VLOOKUP(Call_Center_Data[[#This Row],[Emp ID]], Employee[], 4, FALSE)</f>
        <v>Timmy Mack</v>
      </c>
      <c r="L947" t="str">
        <f>VLOOKUP(Call_Center_Data[[#This Row],[Call Type ID]], Call_Type[], 2, FALSE)</f>
        <v>Tech Sup</v>
      </c>
    </row>
    <row r="948" spans="1:12" x14ac:dyDescent="0.3">
      <c r="A948">
        <v>947</v>
      </c>
      <c r="B948">
        <v>3</v>
      </c>
      <c r="C948" s="1">
        <v>45541</v>
      </c>
      <c r="D948" s="2" t="s">
        <v>72</v>
      </c>
      <c r="E948">
        <v>1</v>
      </c>
      <c r="F948">
        <v>19</v>
      </c>
      <c r="G948">
        <v>185</v>
      </c>
      <c r="H948">
        <v>195</v>
      </c>
      <c r="I948" t="str">
        <f>VLOOKUP(Call_Center_Data[[#This Row],[Emp ID]],Employee[],2,FALSE)</f>
        <v>Ultor Pat</v>
      </c>
      <c r="J948" t="str">
        <f>VLOOKUP(Call_Center_Data[[#This Row],[Emp ID]], Employee[], 3, FALSE)</f>
        <v>Jacksonville, WA</v>
      </c>
      <c r="K948" t="str">
        <f>VLOOKUP(Call_Center_Data[[#This Row],[Emp ID]], Employee[], 4, FALSE)</f>
        <v>Jenny Hall</v>
      </c>
      <c r="L948" t="str">
        <f>VLOOKUP(Call_Center_Data[[#This Row],[Call Type ID]], Call_Type[], 2, FALSE)</f>
        <v>Tech Sup</v>
      </c>
    </row>
    <row r="949" spans="1:12" x14ac:dyDescent="0.3">
      <c r="A949">
        <v>948</v>
      </c>
      <c r="B949">
        <v>3</v>
      </c>
      <c r="C949" s="1">
        <v>45542</v>
      </c>
      <c r="D949" s="2" t="s">
        <v>88</v>
      </c>
      <c r="E949">
        <v>0</v>
      </c>
      <c r="F949">
        <v>11</v>
      </c>
      <c r="G949">
        <v>137</v>
      </c>
      <c r="H949">
        <v>132</v>
      </c>
      <c r="I949" t="str">
        <f>VLOOKUP(Call_Center_Data[[#This Row],[Emp ID]],Employee[],2,FALSE)</f>
        <v>Gina Gilder</v>
      </c>
      <c r="J949" t="str">
        <f>VLOOKUP(Call_Center_Data[[#This Row],[Emp ID]], Employee[], 3, FALSE)</f>
        <v>Jacksonville, WA</v>
      </c>
      <c r="K949" t="str">
        <f>VLOOKUP(Call_Center_Data[[#This Row],[Emp ID]], Employee[], 4, FALSE)</f>
        <v>Pierce Rhodes</v>
      </c>
      <c r="L949" t="str">
        <f>VLOOKUP(Call_Center_Data[[#This Row],[Call Type ID]], Call_Type[], 2, FALSE)</f>
        <v>Tech Sup</v>
      </c>
    </row>
    <row r="950" spans="1:12" x14ac:dyDescent="0.3">
      <c r="A950">
        <v>949</v>
      </c>
      <c r="B950">
        <v>2</v>
      </c>
      <c r="C950" s="1">
        <v>45543</v>
      </c>
      <c r="D950" s="2" t="s">
        <v>71</v>
      </c>
      <c r="E950">
        <v>0</v>
      </c>
      <c r="F950">
        <v>29</v>
      </c>
      <c r="G950">
        <v>180</v>
      </c>
      <c r="H950">
        <v>873</v>
      </c>
      <c r="I950" t="str">
        <f>VLOOKUP(Call_Center_Data[[#This Row],[Emp ID]],Employee[],2,FALSE)</f>
        <v>Sam Pat</v>
      </c>
      <c r="J950" t="str">
        <f>VLOOKUP(Call_Center_Data[[#This Row],[Emp ID]], Employee[], 3, FALSE)</f>
        <v>Aurora, CO</v>
      </c>
      <c r="K950" t="str">
        <f>VLOOKUP(Call_Center_Data[[#This Row],[Emp ID]], Employee[], 4, FALSE)</f>
        <v>Henry Mack</v>
      </c>
      <c r="L950" t="str">
        <f>VLOOKUP(Call_Center_Data[[#This Row],[Call Type ID]], Call_Type[], 2, FALSE)</f>
        <v>Sales</v>
      </c>
    </row>
    <row r="951" spans="1:12" x14ac:dyDescent="0.3">
      <c r="A951">
        <v>950</v>
      </c>
      <c r="B951">
        <v>1</v>
      </c>
      <c r="C951" s="1">
        <v>45544</v>
      </c>
      <c r="D951" s="2" t="s">
        <v>67</v>
      </c>
      <c r="E951">
        <v>0</v>
      </c>
      <c r="F951">
        <v>16</v>
      </c>
      <c r="G951">
        <v>166</v>
      </c>
      <c r="H951">
        <v>87</v>
      </c>
      <c r="I951" t="str">
        <f>VLOOKUP(Call_Center_Data[[#This Row],[Emp ID]],Employee[],2,FALSE)</f>
        <v>Tina Pat</v>
      </c>
      <c r="J951" t="str">
        <f>VLOOKUP(Call_Center_Data[[#This Row],[Emp ID]], Employee[], 3, FALSE)</f>
        <v>Jacksonville, WA</v>
      </c>
      <c r="K951" t="str">
        <f>VLOOKUP(Call_Center_Data[[#This Row],[Emp ID]], Employee[], 4, FALSE)</f>
        <v>John Hall</v>
      </c>
      <c r="L951" t="str">
        <f>VLOOKUP(Call_Center_Data[[#This Row],[Call Type ID]], Call_Type[], 2, FALSE)</f>
        <v>Billing</v>
      </c>
    </row>
    <row r="952" spans="1:12" x14ac:dyDescent="0.3">
      <c r="A952">
        <v>951</v>
      </c>
      <c r="B952">
        <v>1</v>
      </c>
      <c r="C952" s="1">
        <v>45545</v>
      </c>
      <c r="D952" s="2" t="s">
        <v>75</v>
      </c>
      <c r="E952">
        <v>1</v>
      </c>
      <c r="F952">
        <v>12</v>
      </c>
      <c r="G952">
        <v>155</v>
      </c>
      <c r="H952">
        <v>127</v>
      </c>
      <c r="I952" t="str">
        <f>VLOOKUP(Call_Center_Data[[#This Row],[Emp ID]],Employee[],2,FALSE)</f>
        <v>Gina Pat</v>
      </c>
      <c r="J952" t="str">
        <f>VLOOKUP(Call_Center_Data[[#This Row],[Emp ID]], Employee[], 3, FALSE)</f>
        <v>Spokane, WA</v>
      </c>
      <c r="K952" t="str">
        <f>VLOOKUP(Call_Center_Data[[#This Row],[Emp ID]], Employee[], 4, FALSE)</f>
        <v>Henry Hall</v>
      </c>
      <c r="L952" t="str">
        <f>VLOOKUP(Call_Center_Data[[#This Row],[Call Type ID]], Call_Type[], 2, FALSE)</f>
        <v>Billing</v>
      </c>
    </row>
    <row r="953" spans="1:12" x14ac:dyDescent="0.3">
      <c r="A953">
        <v>952</v>
      </c>
      <c r="B953">
        <v>1</v>
      </c>
      <c r="C953" s="1">
        <v>45546</v>
      </c>
      <c r="D953" s="2" t="s">
        <v>76</v>
      </c>
      <c r="E953">
        <v>0</v>
      </c>
      <c r="F953">
        <v>74</v>
      </c>
      <c r="G953">
        <v>125</v>
      </c>
      <c r="H953">
        <v>672</v>
      </c>
      <c r="I953" t="str">
        <f>VLOOKUP(Call_Center_Data[[#This Row],[Emp ID]],Employee[],2,FALSE)</f>
        <v>Ultor Saab</v>
      </c>
      <c r="J953" t="str">
        <f>VLOOKUP(Call_Center_Data[[#This Row],[Emp ID]], Employee[], 3, FALSE)</f>
        <v>Aurora, CO</v>
      </c>
      <c r="K953" t="str">
        <f>VLOOKUP(Call_Center_Data[[#This Row],[Emp ID]], Employee[], 4, FALSE)</f>
        <v>Pierce Baas</v>
      </c>
      <c r="L953" t="str">
        <f>VLOOKUP(Call_Center_Data[[#This Row],[Call Type ID]], Call_Type[], 2, FALSE)</f>
        <v>Billing</v>
      </c>
    </row>
    <row r="954" spans="1:12" x14ac:dyDescent="0.3">
      <c r="A954">
        <v>953</v>
      </c>
      <c r="B954">
        <v>2</v>
      </c>
      <c r="C954" s="1">
        <v>45547</v>
      </c>
      <c r="D954" s="2" t="s">
        <v>71</v>
      </c>
      <c r="E954">
        <v>1</v>
      </c>
      <c r="F954">
        <v>28</v>
      </c>
      <c r="G954">
        <v>183</v>
      </c>
      <c r="H954">
        <v>532</v>
      </c>
      <c r="I954" t="str">
        <f>VLOOKUP(Call_Center_Data[[#This Row],[Emp ID]],Employee[],2,FALSE)</f>
        <v>Sam Pat</v>
      </c>
      <c r="J954" t="str">
        <f>VLOOKUP(Call_Center_Data[[#This Row],[Emp ID]], Employee[], 3, FALSE)</f>
        <v>Aurora, CO</v>
      </c>
      <c r="K954" t="str">
        <f>VLOOKUP(Call_Center_Data[[#This Row],[Emp ID]], Employee[], 4, FALSE)</f>
        <v>Henry Mack</v>
      </c>
      <c r="L954" t="str">
        <f>VLOOKUP(Call_Center_Data[[#This Row],[Call Type ID]], Call_Type[], 2, FALSE)</f>
        <v>Sales</v>
      </c>
    </row>
    <row r="955" spans="1:12" x14ac:dyDescent="0.3">
      <c r="A955">
        <v>954</v>
      </c>
      <c r="B955">
        <v>3</v>
      </c>
      <c r="C955" s="1">
        <v>45548</v>
      </c>
      <c r="D955" s="2" t="s">
        <v>67</v>
      </c>
      <c r="E955">
        <v>1</v>
      </c>
      <c r="F955">
        <v>31</v>
      </c>
      <c r="G955">
        <v>185</v>
      </c>
      <c r="H955">
        <v>201</v>
      </c>
      <c r="I955" t="str">
        <f>VLOOKUP(Call_Center_Data[[#This Row],[Emp ID]],Employee[],2,FALSE)</f>
        <v>Tina Pat</v>
      </c>
      <c r="J955" t="str">
        <f>VLOOKUP(Call_Center_Data[[#This Row],[Emp ID]], Employee[], 3, FALSE)</f>
        <v>Jacksonville, WA</v>
      </c>
      <c r="K955" t="str">
        <f>VLOOKUP(Call_Center_Data[[#This Row],[Emp ID]], Employee[], 4, FALSE)</f>
        <v>John Hall</v>
      </c>
      <c r="L955" t="str">
        <f>VLOOKUP(Call_Center_Data[[#This Row],[Call Type ID]], Call_Type[], 2, FALSE)</f>
        <v>Tech Sup</v>
      </c>
    </row>
    <row r="956" spans="1:12" x14ac:dyDescent="0.3">
      <c r="A956">
        <v>955</v>
      </c>
      <c r="B956">
        <v>1</v>
      </c>
      <c r="C956" s="1">
        <v>45549</v>
      </c>
      <c r="D956" s="2" t="s">
        <v>86</v>
      </c>
      <c r="E956">
        <v>1</v>
      </c>
      <c r="F956">
        <v>20</v>
      </c>
      <c r="G956">
        <v>192</v>
      </c>
      <c r="H956">
        <v>130</v>
      </c>
      <c r="I956" t="str">
        <f>VLOOKUP(Call_Center_Data[[#This Row],[Emp ID]],Employee[],2,FALSE)</f>
        <v>Jill Gilder</v>
      </c>
      <c r="J956" t="str">
        <f>VLOOKUP(Call_Center_Data[[#This Row],[Emp ID]], Employee[], 3, FALSE)</f>
        <v>Aurora, CO</v>
      </c>
      <c r="K956" t="str">
        <f>VLOOKUP(Call_Center_Data[[#This Row],[Emp ID]], Employee[], 4, FALSE)</f>
        <v>Jenny Baas</v>
      </c>
      <c r="L956" t="str">
        <f>VLOOKUP(Call_Center_Data[[#This Row],[Call Type ID]], Call_Type[], 2, FALSE)</f>
        <v>Billing</v>
      </c>
    </row>
    <row r="957" spans="1:12" x14ac:dyDescent="0.3">
      <c r="A957">
        <v>956</v>
      </c>
      <c r="B957">
        <v>1</v>
      </c>
      <c r="C957" s="1">
        <v>45550</v>
      </c>
      <c r="D957" s="2" t="s">
        <v>71</v>
      </c>
      <c r="E957">
        <v>1</v>
      </c>
      <c r="F957">
        <v>27</v>
      </c>
      <c r="G957">
        <v>184</v>
      </c>
      <c r="H957">
        <v>247</v>
      </c>
      <c r="I957" t="str">
        <f>VLOOKUP(Call_Center_Data[[#This Row],[Emp ID]],Employee[],2,FALSE)</f>
        <v>Sam Pat</v>
      </c>
      <c r="J957" t="str">
        <f>VLOOKUP(Call_Center_Data[[#This Row],[Emp ID]], Employee[], 3, FALSE)</f>
        <v>Aurora, CO</v>
      </c>
      <c r="K957" t="str">
        <f>VLOOKUP(Call_Center_Data[[#This Row],[Emp ID]], Employee[], 4, FALSE)</f>
        <v>Henry Mack</v>
      </c>
      <c r="L957" t="str">
        <f>VLOOKUP(Call_Center_Data[[#This Row],[Call Type ID]], Call_Type[], 2, FALSE)</f>
        <v>Billing</v>
      </c>
    </row>
    <row r="958" spans="1:12" x14ac:dyDescent="0.3">
      <c r="A958">
        <v>957</v>
      </c>
      <c r="B958">
        <v>3</v>
      </c>
      <c r="C958" s="1">
        <v>45551</v>
      </c>
      <c r="D958" s="2" t="s">
        <v>71</v>
      </c>
      <c r="E958">
        <v>1</v>
      </c>
      <c r="F958">
        <v>29</v>
      </c>
      <c r="G958">
        <v>135</v>
      </c>
      <c r="H958">
        <v>343</v>
      </c>
      <c r="I958" t="str">
        <f>VLOOKUP(Call_Center_Data[[#This Row],[Emp ID]],Employee[],2,FALSE)</f>
        <v>Sam Pat</v>
      </c>
      <c r="J958" t="str">
        <f>VLOOKUP(Call_Center_Data[[#This Row],[Emp ID]], Employee[], 3, FALSE)</f>
        <v>Aurora, CO</v>
      </c>
      <c r="K958" t="str">
        <f>VLOOKUP(Call_Center_Data[[#This Row],[Emp ID]], Employee[], 4, FALSE)</f>
        <v>Henry Mack</v>
      </c>
      <c r="L958" t="str">
        <f>VLOOKUP(Call_Center_Data[[#This Row],[Call Type ID]], Call_Type[], 2, FALSE)</f>
        <v>Tech Sup</v>
      </c>
    </row>
    <row r="959" spans="1:12" x14ac:dyDescent="0.3">
      <c r="A959">
        <v>958</v>
      </c>
      <c r="B959">
        <v>2</v>
      </c>
      <c r="C959" s="1">
        <v>45552</v>
      </c>
      <c r="D959" s="2" t="s">
        <v>75</v>
      </c>
      <c r="E959">
        <v>0</v>
      </c>
      <c r="F959">
        <v>28</v>
      </c>
      <c r="G959">
        <v>165</v>
      </c>
      <c r="H959">
        <v>186</v>
      </c>
      <c r="I959" t="str">
        <f>VLOOKUP(Call_Center_Data[[#This Row],[Emp ID]],Employee[],2,FALSE)</f>
        <v>Gina Pat</v>
      </c>
      <c r="J959" t="str">
        <f>VLOOKUP(Call_Center_Data[[#This Row],[Emp ID]], Employee[], 3, FALSE)</f>
        <v>Spokane, WA</v>
      </c>
      <c r="K959" t="str">
        <f>VLOOKUP(Call_Center_Data[[#This Row],[Emp ID]], Employee[], 4, FALSE)</f>
        <v>Henry Hall</v>
      </c>
      <c r="L959" t="str">
        <f>VLOOKUP(Call_Center_Data[[#This Row],[Call Type ID]], Call_Type[], 2, FALSE)</f>
        <v>Sales</v>
      </c>
    </row>
    <row r="960" spans="1:12" x14ac:dyDescent="0.3">
      <c r="A960">
        <v>959</v>
      </c>
      <c r="B960">
        <v>2</v>
      </c>
      <c r="C960" s="1">
        <v>45553</v>
      </c>
      <c r="D960" s="2" t="s">
        <v>80</v>
      </c>
      <c r="E960">
        <v>1</v>
      </c>
      <c r="F960">
        <v>16</v>
      </c>
      <c r="G960">
        <v>153</v>
      </c>
      <c r="H960">
        <v>188</v>
      </c>
      <c r="I960" t="str">
        <f>VLOOKUP(Call_Center_Data[[#This Row],[Emp ID]],Employee[],2,FALSE)</f>
        <v>Tina Simons</v>
      </c>
      <c r="J960" t="str">
        <f>VLOOKUP(Call_Center_Data[[#This Row],[Emp ID]], Employee[], 3, FALSE)</f>
        <v>Aurora, CO</v>
      </c>
      <c r="K960" t="str">
        <f>VLOOKUP(Call_Center_Data[[#This Row],[Emp ID]], Employee[], 4, FALSE)</f>
        <v>Pierce Gill</v>
      </c>
      <c r="L960" t="str">
        <f>VLOOKUP(Call_Center_Data[[#This Row],[Call Type ID]], Call_Type[], 2, FALSE)</f>
        <v>Sales</v>
      </c>
    </row>
    <row r="961" spans="1:12" x14ac:dyDescent="0.3">
      <c r="A961">
        <v>960</v>
      </c>
      <c r="B961">
        <v>2</v>
      </c>
      <c r="C961" s="1">
        <v>45554</v>
      </c>
      <c r="D961" s="2" t="s">
        <v>69</v>
      </c>
      <c r="E961">
        <v>0</v>
      </c>
      <c r="F961">
        <v>34</v>
      </c>
      <c r="G961">
        <v>173</v>
      </c>
      <c r="H961">
        <v>306</v>
      </c>
      <c r="I961" t="str">
        <f>VLOOKUP(Call_Center_Data[[#This Row],[Emp ID]],Employee[],2,FALSE)</f>
        <v>Sam Gilder</v>
      </c>
      <c r="J961" t="str">
        <f>VLOOKUP(Call_Center_Data[[#This Row],[Emp ID]], Employee[], 3, FALSE)</f>
        <v>Jacksonville, WA</v>
      </c>
      <c r="K961" t="str">
        <f>VLOOKUP(Call_Center_Data[[#This Row],[Emp ID]], Employee[], 4, FALSE)</f>
        <v>Timmy Hall</v>
      </c>
      <c r="L961" t="str">
        <f>VLOOKUP(Call_Center_Data[[#This Row],[Call Type ID]], Call_Type[], 2, FALSE)</f>
        <v>Sales</v>
      </c>
    </row>
    <row r="962" spans="1:12" x14ac:dyDescent="0.3">
      <c r="A962">
        <v>961</v>
      </c>
      <c r="B962">
        <v>3</v>
      </c>
      <c r="C962" s="1">
        <v>45555</v>
      </c>
      <c r="D962" s="2" t="s">
        <v>84</v>
      </c>
      <c r="E962">
        <v>1</v>
      </c>
      <c r="F962">
        <v>34</v>
      </c>
      <c r="G962">
        <v>178</v>
      </c>
      <c r="H962">
        <v>454</v>
      </c>
      <c r="I962" t="str">
        <f>VLOOKUP(Call_Center_Data[[#This Row],[Emp ID]],Employee[],2,FALSE)</f>
        <v>Sam John</v>
      </c>
      <c r="J962" t="str">
        <f>VLOOKUP(Call_Center_Data[[#This Row],[Emp ID]], Employee[], 3, FALSE)</f>
        <v>Aurora, CO</v>
      </c>
      <c r="K962" t="str">
        <f>VLOOKUP(Call_Center_Data[[#This Row],[Emp ID]], Employee[], 4, FALSE)</f>
        <v>Jenny Mack</v>
      </c>
      <c r="L962" t="str">
        <f>VLOOKUP(Call_Center_Data[[#This Row],[Call Type ID]], Call_Type[], 2, FALSE)</f>
        <v>Tech Sup</v>
      </c>
    </row>
    <row r="963" spans="1:12" x14ac:dyDescent="0.3">
      <c r="A963">
        <v>962</v>
      </c>
      <c r="B963">
        <v>1</v>
      </c>
      <c r="C963" s="1">
        <v>45556</v>
      </c>
      <c r="D963" s="2" t="s">
        <v>78</v>
      </c>
      <c r="E963">
        <v>1</v>
      </c>
      <c r="F963">
        <v>16</v>
      </c>
      <c r="G963">
        <v>172</v>
      </c>
      <c r="H963">
        <v>186</v>
      </c>
      <c r="I963" t="str">
        <f>VLOOKUP(Call_Center_Data[[#This Row],[Emp ID]],Employee[],2,FALSE)</f>
        <v>Jill Saab</v>
      </c>
      <c r="J963" t="str">
        <f>VLOOKUP(Call_Center_Data[[#This Row],[Emp ID]], Employee[], 3, FALSE)</f>
        <v>Spokane, WA</v>
      </c>
      <c r="K963" t="str">
        <f>VLOOKUP(Call_Center_Data[[#This Row],[Emp ID]], Employee[], 4, FALSE)</f>
        <v>Timmy Gill</v>
      </c>
      <c r="L963" t="str">
        <f>VLOOKUP(Call_Center_Data[[#This Row],[Call Type ID]], Call_Type[], 2, FALSE)</f>
        <v>Billing</v>
      </c>
    </row>
    <row r="964" spans="1:12" x14ac:dyDescent="0.3">
      <c r="A964">
        <v>963</v>
      </c>
      <c r="B964">
        <v>1</v>
      </c>
      <c r="C964" s="1">
        <v>45557</v>
      </c>
      <c r="D964" s="2" t="s">
        <v>83</v>
      </c>
      <c r="E964">
        <v>1</v>
      </c>
      <c r="F964">
        <v>44</v>
      </c>
      <c r="G964">
        <v>177</v>
      </c>
      <c r="H964">
        <v>368</v>
      </c>
      <c r="I964" t="str">
        <f>VLOOKUP(Call_Center_Data[[#This Row],[Emp ID]],Employee[],2,FALSE)</f>
        <v>Ultor Simons</v>
      </c>
      <c r="J964" t="str">
        <f>VLOOKUP(Call_Center_Data[[#This Row],[Emp ID]], Employee[], 3, FALSE)</f>
        <v>Jacksonville, WA</v>
      </c>
      <c r="K964" t="str">
        <f>VLOOKUP(Call_Center_Data[[#This Row],[Emp ID]], Employee[], 4, FALSE)</f>
        <v>Pierce Hall</v>
      </c>
      <c r="L964" t="str">
        <f>VLOOKUP(Call_Center_Data[[#This Row],[Call Type ID]], Call_Type[], 2, FALSE)</f>
        <v>Billing</v>
      </c>
    </row>
    <row r="965" spans="1:12" x14ac:dyDescent="0.3">
      <c r="A965">
        <v>964</v>
      </c>
      <c r="B965">
        <v>3</v>
      </c>
      <c r="C965" s="1">
        <v>45558</v>
      </c>
      <c r="D965" s="2" t="s">
        <v>79</v>
      </c>
      <c r="E965">
        <v>1</v>
      </c>
      <c r="F965">
        <v>8</v>
      </c>
      <c r="G965">
        <v>160</v>
      </c>
      <c r="H965">
        <v>44</v>
      </c>
      <c r="I965" t="str">
        <f>VLOOKUP(Call_Center_Data[[#This Row],[Emp ID]],Employee[],2,FALSE)</f>
        <v>Gina Simons</v>
      </c>
      <c r="J965" t="str">
        <f>VLOOKUP(Call_Center_Data[[#This Row],[Emp ID]], Employee[], 3, FALSE)</f>
        <v>Spokane, WA</v>
      </c>
      <c r="K965" t="str">
        <f>VLOOKUP(Call_Center_Data[[#This Row],[Emp ID]], Employee[], 4, FALSE)</f>
        <v>John Rhodes</v>
      </c>
      <c r="L965" t="str">
        <f>VLOOKUP(Call_Center_Data[[#This Row],[Call Type ID]], Call_Type[], 2, FALSE)</f>
        <v>Tech Sup</v>
      </c>
    </row>
    <row r="966" spans="1:12" x14ac:dyDescent="0.3">
      <c r="A966">
        <v>965</v>
      </c>
      <c r="B966">
        <v>3</v>
      </c>
      <c r="C966" s="1">
        <v>45559</v>
      </c>
      <c r="D966" s="2" t="s">
        <v>87</v>
      </c>
      <c r="E966">
        <v>1</v>
      </c>
      <c r="F966">
        <v>24</v>
      </c>
      <c r="G966">
        <v>178</v>
      </c>
      <c r="H966">
        <v>199</v>
      </c>
      <c r="I966" t="str">
        <f>VLOOKUP(Call_Center_Data[[#This Row],[Emp ID]],Employee[],2,FALSE)</f>
        <v>Gina Saab</v>
      </c>
      <c r="J966" t="str">
        <f>VLOOKUP(Call_Center_Data[[#This Row],[Emp ID]], Employee[], 3, FALSE)</f>
        <v>Jacksonville, WA</v>
      </c>
      <c r="K966" t="str">
        <f>VLOOKUP(Call_Center_Data[[#This Row],[Emp ID]], Employee[], 4, FALSE)</f>
        <v>Jenny Gill</v>
      </c>
      <c r="L966" t="str">
        <f>VLOOKUP(Call_Center_Data[[#This Row],[Call Type ID]], Call_Type[], 2, FALSE)</f>
        <v>Tech Sup</v>
      </c>
    </row>
    <row r="967" spans="1:12" x14ac:dyDescent="0.3">
      <c r="A967">
        <v>966</v>
      </c>
      <c r="B967">
        <v>1</v>
      </c>
      <c r="C967" s="1">
        <v>45560</v>
      </c>
      <c r="D967" s="2" t="s">
        <v>70</v>
      </c>
      <c r="E967">
        <v>1</v>
      </c>
      <c r="F967">
        <v>46</v>
      </c>
      <c r="G967">
        <v>179</v>
      </c>
      <c r="H967">
        <v>560</v>
      </c>
      <c r="I967" t="str">
        <f>VLOOKUP(Call_Center_Data[[#This Row],[Emp ID]],Employee[],2,FALSE)</f>
        <v>Jill Pat</v>
      </c>
      <c r="J967" t="str">
        <f>VLOOKUP(Call_Center_Data[[#This Row],[Emp ID]], Employee[], 3, FALSE)</f>
        <v>Aurora, CO</v>
      </c>
      <c r="K967" t="str">
        <f>VLOOKUP(Call_Center_Data[[#This Row],[Emp ID]], Employee[], 4, FALSE)</f>
        <v>Henry Rhodes</v>
      </c>
      <c r="L967" t="str">
        <f>VLOOKUP(Call_Center_Data[[#This Row],[Call Type ID]], Call_Type[], 2, FALSE)</f>
        <v>Billing</v>
      </c>
    </row>
    <row r="968" spans="1:12" x14ac:dyDescent="0.3">
      <c r="A968">
        <v>967</v>
      </c>
      <c r="B968">
        <v>1</v>
      </c>
      <c r="C968" s="1">
        <v>45561</v>
      </c>
      <c r="D968" s="2" t="s">
        <v>88</v>
      </c>
      <c r="E968">
        <v>1</v>
      </c>
      <c r="F968">
        <v>33</v>
      </c>
      <c r="G968">
        <v>177</v>
      </c>
      <c r="H968">
        <v>325</v>
      </c>
      <c r="I968" t="str">
        <f>VLOOKUP(Call_Center_Data[[#This Row],[Emp ID]],Employee[],2,FALSE)</f>
        <v>Gina Gilder</v>
      </c>
      <c r="J968" t="str">
        <f>VLOOKUP(Call_Center_Data[[#This Row],[Emp ID]], Employee[], 3, FALSE)</f>
        <v>Jacksonville, WA</v>
      </c>
      <c r="K968" t="str">
        <f>VLOOKUP(Call_Center_Data[[#This Row],[Emp ID]], Employee[], 4, FALSE)</f>
        <v>Pierce Rhodes</v>
      </c>
      <c r="L968" t="str">
        <f>VLOOKUP(Call_Center_Data[[#This Row],[Call Type ID]], Call_Type[], 2, FALSE)</f>
        <v>Billing</v>
      </c>
    </row>
    <row r="969" spans="1:12" x14ac:dyDescent="0.3">
      <c r="A969">
        <v>968</v>
      </c>
      <c r="B969">
        <v>1</v>
      </c>
      <c r="C969" s="1">
        <v>45562</v>
      </c>
      <c r="D969" s="2" t="s">
        <v>86</v>
      </c>
      <c r="E969">
        <v>1</v>
      </c>
      <c r="F969">
        <v>49</v>
      </c>
      <c r="G969">
        <v>191</v>
      </c>
      <c r="H969">
        <v>412</v>
      </c>
      <c r="I969" t="str">
        <f>VLOOKUP(Call_Center_Data[[#This Row],[Emp ID]],Employee[],2,FALSE)</f>
        <v>Jill Gilder</v>
      </c>
      <c r="J969" t="str">
        <f>VLOOKUP(Call_Center_Data[[#This Row],[Emp ID]], Employee[], 3, FALSE)</f>
        <v>Aurora, CO</v>
      </c>
      <c r="K969" t="str">
        <f>VLOOKUP(Call_Center_Data[[#This Row],[Emp ID]], Employee[], 4, FALSE)</f>
        <v>Jenny Baas</v>
      </c>
      <c r="L969" t="str">
        <f>VLOOKUP(Call_Center_Data[[#This Row],[Call Type ID]], Call_Type[], 2, FALSE)</f>
        <v>Billing</v>
      </c>
    </row>
    <row r="970" spans="1:12" x14ac:dyDescent="0.3">
      <c r="A970">
        <v>969</v>
      </c>
      <c r="B970">
        <v>2</v>
      </c>
      <c r="C970" s="1">
        <v>45563</v>
      </c>
      <c r="D970" s="2" t="s">
        <v>79</v>
      </c>
      <c r="E970">
        <v>0</v>
      </c>
      <c r="F970">
        <v>26</v>
      </c>
      <c r="G970">
        <v>169</v>
      </c>
      <c r="H970">
        <v>233</v>
      </c>
      <c r="I970" t="str">
        <f>VLOOKUP(Call_Center_Data[[#This Row],[Emp ID]],Employee[],2,FALSE)</f>
        <v>Gina Simons</v>
      </c>
      <c r="J970" t="str">
        <f>VLOOKUP(Call_Center_Data[[#This Row],[Emp ID]], Employee[], 3, FALSE)</f>
        <v>Spokane, WA</v>
      </c>
      <c r="K970" t="str">
        <f>VLOOKUP(Call_Center_Data[[#This Row],[Emp ID]], Employee[], 4, FALSE)</f>
        <v>John Rhodes</v>
      </c>
      <c r="L970" t="str">
        <f>VLOOKUP(Call_Center_Data[[#This Row],[Call Type ID]], Call_Type[], 2, FALSE)</f>
        <v>Sales</v>
      </c>
    </row>
    <row r="971" spans="1:12" x14ac:dyDescent="0.3">
      <c r="A971">
        <v>970</v>
      </c>
      <c r="B971">
        <v>1</v>
      </c>
      <c r="C971" s="1">
        <v>45564</v>
      </c>
      <c r="D971" s="2" t="s">
        <v>79</v>
      </c>
      <c r="E971">
        <v>1</v>
      </c>
      <c r="F971">
        <v>14</v>
      </c>
      <c r="G971">
        <v>181</v>
      </c>
      <c r="H971">
        <v>129</v>
      </c>
      <c r="I971" t="str">
        <f>VLOOKUP(Call_Center_Data[[#This Row],[Emp ID]],Employee[],2,FALSE)</f>
        <v>Gina Simons</v>
      </c>
      <c r="J971" t="str">
        <f>VLOOKUP(Call_Center_Data[[#This Row],[Emp ID]], Employee[], 3, FALSE)</f>
        <v>Spokane, WA</v>
      </c>
      <c r="K971" t="str">
        <f>VLOOKUP(Call_Center_Data[[#This Row],[Emp ID]], Employee[], 4, FALSE)</f>
        <v>John Rhodes</v>
      </c>
      <c r="L971" t="str">
        <f>VLOOKUP(Call_Center_Data[[#This Row],[Call Type ID]], Call_Type[], 2, FALSE)</f>
        <v>Billing</v>
      </c>
    </row>
    <row r="972" spans="1:12" x14ac:dyDescent="0.3">
      <c r="A972">
        <v>971</v>
      </c>
      <c r="B972">
        <v>1</v>
      </c>
      <c r="C972" s="1">
        <v>45565</v>
      </c>
      <c r="D972" s="2" t="s">
        <v>69</v>
      </c>
      <c r="E972">
        <v>0</v>
      </c>
      <c r="F972">
        <v>4</v>
      </c>
      <c r="G972">
        <v>199</v>
      </c>
      <c r="H972">
        <v>14</v>
      </c>
      <c r="I972" t="str">
        <f>VLOOKUP(Call_Center_Data[[#This Row],[Emp ID]],Employee[],2,FALSE)</f>
        <v>Sam Gilder</v>
      </c>
      <c r="J972" t="str">
        <f>VLOOKUP(Call_Center_Data[[#This Row],[Emp ID]], Employee[], 3, FALSE)</f>
        <v>Jacksonville, WA</v>
      </c>
      <c r="K972" t="str">
        <f>VLOOKUP(Call_Center_Data[[#This Row],[Emp ID]], Employee[], 4, FALSE)</f>
        <v>Timmy Hall</v>
      </c>
      <c r="L972" t="str">
        <f>VLOOKUP(Call_Center_Data[[#This Row],[Call Type ID]], Call_Type[], 2, FALSE)</f>
        <v>Billing</v>
      </c>
    </row>
    <row r="973" spans="1:12" x14ac:dyDescent="0.3">
      <c r="A973">
        <v>972</v>
      </c>
      <c r="B973">
        <v>3</v>
      </c>
      <c r="C973" s="1">
        <v>45566</v>
      </c>
      <c r="D973" s="2" t="s">
        <v>65</v>
      </c>
      <c r="E973">
        <v>1</v>
      </c>
      <c r="F973">
        <v>8</v>
      </c>
      <c r="G973">
        <v>154</v>
      </c>
      <c r="H973">
        <v>124</v>
      </c>
      <c r="I973" t="str">
        <f>VLOOKUP(Call_Center_Data[[#This Row],[Emp ID]],Employee[],2,FALSE)</f>
        <v>Ultor John</v>
      </c>
      <c r="J973" t="str">
        <f>VLOOKUP(Call_Center_Data[[#This Row],[Emp ID]], Employee[], 3, FALSE)</f>
        <v>Spokane, WA</v>
      </c>
      <c r="K973" t="str">
        <f>VLOOKUP(Call_Center_Data[[#This Row],[Emp ID]], Employee[], 4, FALSE)</f>
        <v>John Mack</v>
      </c>
      <c r="L973" t="str">
        <f>VLOOKUP(Call_Center_Data[[#This Row],[Call Type ID]], Call_Type[], 2, FALSE)</f>
        <v>Tech Sup</v>
      </c>
    </row>
    <row r="974" spans="1:12" x14ac:dyDescent="0.3">
      <c r="A974">
        <v>973</v>
      </c>
      <c r="B974">
        <v>3</v>
      </c>
      <c r="C974" s="1">
        <v>45567</v>
      </c>
      <c r="D974" s="2" t="s">
        <v>73</v>
      </c>
      <c r="E974">
        <v>1</v>
      </c>
      <c r="F974">
        <v>3</v>
      </c>
      <c r="G974">
        <v>288</v>
      </c>
      <c r="H974">
        <v>31</v>
      </c>
      <c r="I974" t="str">
        <f>VLOOKUP(Call_Center_Data[[#This Row],[Emp ID]],Employee[],2,FALSE)</f>
        <v>Jill John</v>
      </c>
      <c r="J974" t="str">
        <f>VLOOKUP(Call_Center_Data[[#This Row],[Emp ID]], Employee[], 3, FALSE)</f>
        <v>Spokane, WA</v>
      </c>
      <c r="K974" t="str">
        <f>VLOOKUP(Call_Center_Data[[#This Row],[Emp ID]], Employee[], 4, FALSE)</f>
        <v>John Gill</v>
      </c>
      <c r="L974" t="str">
        <f>VLOOKUP(Call_Center_Data[[#This Row],[Call Type ID]], Call_Type[], 2, FALSE)</f>
        <v>Tech Sup</v>
      </c>
    </row>
    <row r="975" spans="1:12" x14ac:dyDescent="0.3">
      <c r="A975">
        <v>974</v>
      </c>
      <c r="B975">
        <v>1</v>
      </c>
      <c r="C975" s="1">
        <v>45568</v>
      </c>
      <c r="D975" s="2" t="s">
        <v>78</v>
      </c>
      <c r="E975">
        <v>1</v>
      </c>
      <c r="F975">
        <v>33</v>
      </c>
      <c r="G975">
        <v>156</v>
      </c>
      <c r="H975">
        <v>511</v>
      </c>
      <c r="I975" t="str">
        <f>VLOOKUP(Call_Center_Data[[#This Row],[Emp ID]],Employee[],2,FALSE)</f>
        <v>Jill Saab</v>
      </c>
      <c r="J975" t="str">
        <f>VLOOKUP(Call_Center_Data[[#This Row],[Emp ID]], Employee[], 3, FALSE)</f>
        <v>Spokane, WA</v>
      </c>
      <c r="K975" t="str">
        <f>VLOOKUP(Call_Center_Data[[#This Row],[Emp ID]], Employee[], 4, FALSE)</f>
        <v>Timmy Gill</v>
      </c>
      <c r="L975" t="str">
        <f>VLOOKUP(Call_Center_Data[[#This Row],[Call Type ID]], Call_Type[], 2, FALSE)</f>
        <v>Billing</v>
      </c>
    </row>
    <row r="976" spans="1:12" x14ac:dyDescent="0.3">
      <c r="A976">
        <v>975</v>
      </c>
      <c r="B976">
        <v>1</v>
      </c>
      <c r="C976" s="1">
        <v>45569</v>
      </c>
      <c r="D976" s="2" t="s">
        <v>76</v>
      </c>
      <c r="E976">
        <v>0</v>
      </c>
      <c r="F976">
        <v>20</v>
      </c>
      <c r="G976">
        <v>155</v>
      </c>
      <c r="H976">
        <v>146</v>
      </c>
      <c r="I976" t="str">
        <f>VLOOKUP(Call_Center_Data[[#This Row],[Emp ID]],Employee[],2,FALSE)</f>
        <v>Ultor Saab</v>
      </c>
      <c r="J976" t="str">
        <f>VLOOKUP(Call_Center_Data[[#This Row],[Emp ID]], Employee[], 3, FALSE)</f>
        <v>Aurora, CO</v>
      </c>
      <c r="K976" t="str">
        <f>VLOOKUP(Call_Center_Data[[#This Row],[Emp ID]], Employee[], 4, FALSE)</f>
        <v>Pierce Baas</v>
      </c>
      <c r="L976" t="str">
        <f>VLOOKUP(Call_Center_Data[[#This Row],[Call Type ID]], Call_Type[], 2, FALSE)</f>
        <v>Billing</v>
      </c>
    </row>
    <row r="977" spans="1:12" x14ac:dyDescent="0.3">
      <c r="A977">
        <v>976</v>
      </c>
      <c r="B977">
        <v>3</v>
      </c>
      <c r="C977" s="1">
        <v>45570</v>
      </c>
      <c r="D977" s="2" t="s">
        <v>69</v>
      </c>
      <c r="E977">
        <v>0</v>
      </c>
      <c r="F977">
        <v>28</v>
      </c>
      <c r="G977">
        <v>181</v>
      </c>
      <c r="H977">
        <v>310</v>
      </c>
      <c r="I977" t="str">
        <f>VLOOKUP(Call_Center_Data[[#This Row],[Emp ID]],Employee[],2,FALSE)</f>
        <v>Sam Gilder</v>
      </c>
      <c r="J977" t="str">
        <f>VLOOKUP(Call_Center_Data[[#This Row],[Emp ID]], Employee[], 3, FALSE)</f>
        <v>Jacksonville, WA</v>
      </c>
      <c r="K977" t="str">
        <f>VLOOKUP(Call_Center_Data[[#This Row],[Emp ID]], Employee[], 4, FALSE)</f>
        <v>Timmy Hall</v>
      </c>
      <c r="L977" t="str">
        <f>VLOOKUP(Call_Center_Data[[#This Row],[Call Type ID]], Call_Type[], 2, FALSE)</f>
        <v>Tech Sup</v>
      </c>
    </row>
    <row r="978" spans="1:12" x14ac:dyDescent="0.3">
      <c r="A978">
        <v>977</v>
      </c>
      <c r="B978">
        <v>3</v>
      </c>
      <c r="C978" s="1">
        <v>45571</v>
      </c>
      <c r="D978" s="2" t="s">
        <v>66</v>
      </c>
      <c r="E978">
        <v>0</v>
      </c>
      <c r="F978">
        <v>24</v>
      </c>
      <c r="G978">
        <v>188</v>
      </c>
      <c r="H978">
        <v>154</v>
      </c>
      <c r="I978" t="str">
        <f>VLOOKUP(Call_Center_Data[[#This Row],[Emp ID]],Employee[],2,FALSE)</f>
        <v>Tina John</v>
      </c>
      <c r="J978" t="str">
        <f>VLOOKUP(Call_Center_Data[[#This Row],[Emp ID]], Employee[], 3, FALSE)</f>
        <v>Aurora, CO</v>
      </c>
      <c r="K978" t="str">
        <f>VLOOKUP(Call_Center_Data[[#This Row],[Emp ID]], Employee[], 4, FALSE)</f>
        <v>Timmy Rhodes</v>
      </c>
      <c r="L978" t="str">
        <f>VLOOKUP(Call_Center_Data[[#This Row],[Call Type ID]], Call_Type[], 2, FALSE)</f>
        <v>Tech Sup</v>
      </c>
    </row>
    <row r="979" spans="1:12" x14ac:dyDescent="0.3">
      <c r="A979">
        <v>978</v>
      </c>
      <c r="B979">
        <v>2</v>
      </c>
      <c r="C979" s="1">
        <v>45572</v>
      </c>
      <c r="D979" s="2" t="s">
        <v>74</v>
      </c>
      <c r="E979">
        <v>0</v>
      </c>
      <c r="F979">
        <v>12</v>
      </c>
      <c r="G979">
        <v>168</v>
      </c>
      <c r="H979">
        <v>63</v>
      </c>
      <c r="I979" t="str">
        <f>VLOOKUP(Call_Center_Data[[#This Row],[Emp ID]],Employee[],2,FALSE)</f>
        <v>Gina John</v>
      </c>
      <c r="J979" t="str">
        <f>VLOOKUP(Call_Center_Data[[#This Row],[Emp ID]], Employee[], 3, FALSE)</f>
        <v>Jacksonville, WA</v>
      </c>
      <c r="K979" t="str">
        <f>VLOOKUP(Call_Center_Data[[#This Row],[Emp ID]], Employee[], 4, FALSE)</f>
        <v>Henry Gill</v>
      </c>
      <c r="L979" t="str">
        <f>VLOOKUP(Call_Center_Data[[#This Row],[Call Type ID]], Call_Type[], 2, FALSE)</f>
        <v>Sales</v>
      </c>
    </row>
    <row r="980" spans="1:12" x14ac:dyDescent="0.3">
      <c r="A980">
        <v>979</v>
      </c>
      <c r="B980">
        <v>3</v>
      </c>
      <c r="C980" s="1">
        <v>45573</v>
      </c>
      <c r="D980" s="2" t="s">
        <v>75</v>
      </c>
      <c r="E980">
        <v>0</v>
      </c>
      <c r="F980">
        <v>32</v>
      </c>
      <c r="G980">
        <v>178</v>
      </c>
      <c r="H980">
        <v>268</v>
      </c>
      <c r="I980" t="str">
        <f>VLOOKUP(Call_Center_Data[[#This Row],[Emp ID]],Employee[],2,FALSE)</f>
        <v>Gina Pat</v>
      </c>
      <c r="J980" t="str">
        <f>VLOOKUP(Call_Center_Data[[#This Row],[Emp ID]], Employee[], 3, FALSE)</f>
        <v>Spokane, WA</v>
      </c>
      <c r="K980" t="str">
        <f>VLOOKUP(Call_Center_Data[[#This Row],[Emp ID]], Employee[], 4, FALSE)</f>
        <v>Henry Hall</v>
      </c>
      <c r="L980" t="str">
        <f>VLOOKUP(Call_Center_Data[[#This Row],[Call Type ID]], Call_Type[], 2, FALSE)</f>
        <v>Tech Sup</v>
      </c>
    </row>
    <row r="981" spans="1:12" x14ac:dyDescent="0.3">
      <c r="A981">
        <v>980</v>
      </c>
      <c r="B981">
        <v>2</v>
      </c>
      <c r="C981" s="1">
        <v>45574</v>
      </c>
      <c r="D981" s="2" t="s">
        <v>68</v>
      </c>
      <c r="E981">
        <v>0</v>
      </c>
      <c r="F981">
        <v>30</v>
      </c>
      <c r="G981">
        <v>174</v>
      </c>
      <c r="H981">
        <v>263</v>
      </c>
      <c r="I981" t="str">
        <f>VLOOKUP(Call_Center_Data[[#This Row],[Emp ID]],Employee[],2,FALSE)</f>
        <v>Tina Saab</v>
      </c>
      <c r="J981" t="str">
        <f>VLOOKUP(Call_Center_Data[[#This Row],[Emp ID]], Employee[], 3, FALSE)</f>
        <v>Spokane, WA</v>
      </c>
      <c r="K981" t="str">
        <f>VLOOKUP(Call_Center_Data[[#This Row],[Emp ID]], Employee[], 4, FALSE)</f>
        <v>Henry Baas</v>
      </c>
      <c r="L981" t="str">
        <f>VLOOKUP(Call_Center_Data[[#This Row],[Call Type ID]], Call_Type[], 2, FALSE)</f>
        <v>Sales</v>
      </c>
    </row>
    <row r="982" spans="1:12" x14ac:dyDescent="0.3">
      <c r="A982">
        <v>981</v>
      </c>
      <c r="B982">
        <v>2</v>
      </c>
      <c r="C982" s="1">
        <v>45575</v>
      </c>
      <c r="D982" s="2" t="s">
        <v>76</v>
      </c>
      <c r="E982">
        <v>1</v>
      </c>
      <c r="F982">
        <v>18</v>
      </c>
      <c r="G982">
        <v>173</v>
      </c>
      <c r="H982">
        <v>168</v>
      </c>
      <c r="I982" t="str">
        <f>VLOOKUP(Call_Center_Data[[#This Row],[Emp ID]],Employee[],2,FALSE)</f>
        <v>Ultor Saab</v>
      </c>
      <c r="J982" t="str">
        <f>VLOOKUP(Call_Center_Data[[#This Row],[Emp ID]], Employee[], 3, FALSE)</f>
        <v>Aurora, CO</v>
      </c>
      <c r="K982" t="str">
        <f>VLOOKUP(Call_Center_Data[[#This Row],[Emp ID]], Employee[], 4, FALSE)</f>
        <v>Pierce Baas</v>
      </c>
      <c r="L982" t="str">
        <f>VLOOKUP(Call_Center_Data[[#This Row],[Call Type ID]], Call_Type[], 2, FALSE)</f>
        <v>Sales</v>
      </c>
    </row>
    <row r="983" spans="1:12" x14ac:dyDescent="0.3">
      <c r="A983">
        <v>982</v>
      </c>
      <c r="B983">
        <v>3</v>
      </c>
      <c r="C983" s="1">
        <v>45576</v>
      </c>
      <c r="D983" s="2" t="s">
        <v>79</v>
      </c>
      <c r="E983">
        <v>1</v>
      </c>
      <c r="F983">
        <v>36</v>
      </c>
      <c r="G983">
        <v>192</v>
      </c>
      <c r="H983">
        <v>312</v>
      </c>
      <c r="I983" t="str">
        <f>VLOOKUP(Call_Center_Data[[#This Row],[Emp ID]],Employee[],2,FALSE)</f>
        <v>Gina Simons</v>
      </c>
      <c r="J983" t="str">
        <f>VLOOKUP(Call_Center_Data[[#This Row],[Emp ID]], Employee[], 3, FALSE)</f>
        <v>Spokane, WA</v>
      </c>
      <c r="K983" t="str">
        <f>VLOOKUP(Call_Center_Data[[#This Row],[Emp ID]], Employee[], 4, FALSE)</f>
        <v>John Rhodes</v>
      </c>
      <c r="L983" t="str">
        <f>VLOOKUP(Call_Center_Data[[#This Row],[Call Type ID]], Call_Type[], 2, FALSE)</f>
        <v>Tech Sup</v>
      </c>
    </row>
    <row r="984" spans="1:12" x14ac:dyDescent="0.3">
      <c r="A984">
        <v>983</v>
      </c>
      <c r="B984">
        <v>3</v>
      </c>
      <c r="C984" s="1">
        <v>45577</v>
      </c>
      <c r="D984" s="2" t="s">
        <v>81</v>
      </c>
      <c r="E984">
        <v>0</v>
      </c>
      <c r="F984">
        <v>10</v>
      </c>
      <c r="G984">
        <v>163</v>
      </c>
      <c r="H984">
        <v>152</v>
      </c>
      <c r="I984" t="str">
        <f>VLOOKUP(Call_Center_Data[[#This Row],[Emp ID]],Employee[],2,FALSE)</f>
        <v>Sam Simons</v>
      </c>
      <c r="J984" t="str">
        <f>VLOOKUP(Call_Center_Data[[#This Row],[Emp ID]], Employee[], 3, FALSE)</f>
        <v>Jacksonville, WA</v>
      </c>
      <c r="K984" t="str">
        <f>VLOOKUP(Call_Center_Data[[#This Row],[Emp ID]], Employee[], 4, FALSE)</f>
        <v>John Baas</v>
      </c>
      <c r="L984" t="str">
        <f>VLOOKUP(Call_Center_Data[[#This Row],[Call Type ID]], Call_Type[], 2, FALSE)</f>
        <v>Tech Sup</v>
      </c>
    </row>
    <row r="985" spans="1:12" x14ac:dyDescent="0.3">
      <c r="A985">
        <v>984</v>
      </c>
      <c r="B985">
        <v>2</v>
      </c>
      <c r="C985" s="1">
        <v>45578</v>
      </c>
      <c r="D985" s="2" t="s">
        <v>71</v>
      </c>
      <c r="E985">
        <v>1</v>
      </c>
      <c r="F985">
        <v>21</v>
      </c>
      <c r="G985">
        <v>162</v>
      </c>
      <c r="H985">
        <v>197</v>
      </c>
      <c r="I985" t="str">
        <f>VLOOKUP(Call_Center_Data[[#This Row],[Emp ID]],Employee[],2,FALSE)</f>
        <v>Sam Pat</v>
      </c>
      <c r="J985" t="str">
        <f>VLOOKUP(Call_Center_Data[[#This Row],[Emp ID]], Employee[], 3, FALSE)</f>
        <v>Aurora, CO</v>
      </c>
      <c r="K985" t="str">
        <f>VLOOKUP(Call_Center_Data[[#This Row],[Emp ID]], Employee[], 4, FALSE)</f>
        <v>Henry Mack</v>
      </c>
      <c r="L985" t="str">
        <f>VLOOKUP(Call_Center_Data[[#This Row],[Call Type ID]], Call_Type[], 2, FALSE)</f>
        <v>Sales</v>
      </c>
    </row>
    <row r="986" spans="1:12" x14ac:dyDescent="0.3">
      <c r="A986">
        <v>985</v>
      </c>
      <c r="B986">
        <v>1</v>
      </c>
      <c r="C986" s="1">
        <v>45579</v>
      </c>
      <c r="D986" s="2" t="s">
        <v>64</v>
      </c>
      <c r="E986">
        <v>0</v>
      </c>
      <c r="F986">
        <v>25</v>
      </c>
      <c r="G986">
        <v>123</v>
      </c>
      <c r="H986">
        <v>127</v>
      </c>
      <c r="I986" t="str">
        <f>VLOOKUP(Call_Center_Data[[#This Row],[Emp ID]],Employee[],2,FALSE)</f>
        <v>Jill Simons</v>
      </c>
      <c r="J986" t="str">
        <f>VLOOKUP(Call_Center_Data[[#This Row],[Emp ID]], Employee[], 3, FALSE)</f>
        <v>Spokane, WA</v>
      </c>
      <c r="K986" t="str">
        <f>VLOOKUP(Call_Center_Data[[#This Row],[Emp ID]], Employee[], 4, FALSE)</f>
        <v>Jenny Rhodes</v>
      </c>
      <c r="L986" t="str">
        <f>VLOOKUP(Call_Center_Data[[#This Row],[Call Type ID]], Call_Type[], 2, FALSE)</f>
        <v>Billing</v>
      </c>
    </row>
    <row r="987" spans="1:12" x14ac:dyDescent="0.3">
      <c r="A987">
        <v>986</v>
      </c>
      <c r="B987">
        <v>1</v>
      </c>
      <c r="C987" s="1">
        <v>45580</v>
      </c>
      <c r="D987" s="2" t="s">
        <v>70</v>
      </c>
      <c r="E987">
        <v>1</v>
      </c>
      <c r="F987">
        <v>29</v>
      </c>
      <c r="G987">
        <v>181</v>
      </c>
      <c r="H987">
        <v>266</v>
      </c>
      <c r="I987" t="str">
        <f>VLOOKUP(Call_Center_Data[[#This Row],[Emp ID]],Employee[],2,FALSE)</f>
        <v>Jill Pat</v>
      </c>
      <c r="J987" t="str">
        <f>VLOOKUP(Call_Center_Data[[#This Row],[Emp ID]], Employee[], 3, FALSE)</f>
        <v>Aurora, CO</v>
      </c>
      <c r="K987" t="str">
        <f>VLOOKUP(Call_Center_Data[[#This Row],[Emp ID]], Employee[], 4, FALSE)</f>
        <v>Henry Rhodes</v>
      </c>
      <c r="L987" t="str">
        <f>VLOOKUP(Call_Center_Data[[#This Row],[Call Type ID]], Call_Type[], 2, FALSE)</f>
        <v>Billing</v>
      </c>
    </row>
    <row r="988" spans="1:12" x14ac:dyDescent="0.3">
      <c r="A988">
        <v>987</v>
      </c>
      <c r="B988">
        <v>1</v>
      </c>
      <c r="C988" s="1">
        <v>45581</v>
      </c>
      <c r="D988" s="2" t="s">
        <v>68</v>
      </c>
      <c r="E988">
        <v>1</v>
      </c>
      <c r="F988">
        <v>35</v>
      </c>
      <c r="G988">
        <v>178</v>
      </c>
      <c r="H988">
        <v>319</v>
      </c>
      <c r="I988" t="str">
        <f>VLOOKUP(Call_Center_Data[[#This Row],[Emp ID]],Employee[],2,FALSE)</f>
        <v>Tina Saab</v>
      </c>
      <c r="J988" t="str">
        <f>VLOOKUP(Call_Center_Data[[#This Row],[Emp ID]], Employee[], 3, FALSE)</f>
        <v>Spokane, WA</v>
      </c>
      <c r="K988" t="str">
        <f>VLOOKUP(Call_Center_Data[[#This Row],[Emp ID]], Employee[], 4, FALSE)</f>
        <v>Henry Baas</v>
      </c>
      <c r="L988" t="str">
        <f>VLOOKUP(Call_Center_Data[[#This Row],[Call Type ID]], Call_Type[], 2, FALSE)</f>
        <v>Billing</v>
      </c>
    </row>
    <row r="989" spans="1:12" x14ac:dyDescent="0.3">
      <c r="A989">
        <v>988</v>
      </c>
      <c r="B989">
        <v>1</v>
      </c>
      <c r="C989" s="1">
        <v>45582</v>
      </c>
      <c r="D989" s="2" t="s">
        <v>84</v>
      </c>
      <c r="E989">
        <v>1</v>
      </c>
      <c r="F989">
        <v>33</v>
      </c>
      <c r="G989">
        <v>159</v>
      </c>
      <c r="H989">
        <v>321</v>
      </c>
      <c r="I989" t="str">
        <f>VLOOKUP(Call_Center_Data[[#This Row],[Emp ID]],Employee[],2,FALSE)</f>
        <v>Sam John</v>
      </c>
      <c r="J989" t="str">
        <f>VLOOKUP(Call_Center_Data[[#This Row],[Emp ID]], Employee[], 3, FALSE)</f>
        <v>Aurora, CO</v>
      </c>
      <c r="K989" t="str">
        <f>VLOOKUP(Call_Center_Data[[#This Row],[Emp ID]], Employee[], 4, FALSE)</f>
        <v>Jenny Mack</v>
      </c>
      <c r="L989" t="str">
        <f>VLOOKUP(Call_Center_Data[[#This Row],[Call Type ID]], Call_Type[], 2, FALSE)</f>
        <v>Billing</v>
      </c>
    </row>
    <row r="990" spans="1:12" x14ac:dyDescent="0.3">
      <c r="A990">
        <v>989</v>
      </c>
      <c r="B990">
        <v>3</v>
      </c>
      <c r="C990" s="1">
        <v>45583</v>
      </c>
      <c r="D990" s="2" t="s">
        <v>75</v>
      </c>
      <c r="E990">
        <v>0</v>
      </c>
      <c r="F990">
        <v>29</v>
      </c>
      <c r="G990">
        <v>168</v>
      </c>
      <c r="H990">
        <v>305</v>
      </c>
      <c r="I990" t="str">
        <f>VLOOKUP(Call_Center_Data[[#This Row],[Emp ID]],Employee[],2,FALSE)</f>
        <v>Gina Pat</v>
      </c>
      <c r="J990" t="str">
        <f>VLOOKUP(Call_Center_Data[[#This Row],[Emp ID]], Employee[], 3, FALSE)</f>
        <v>Spokane, WA</v>
      </c>
      <c r="K990" t="str">
        <f>VLOOKUP(Call_Center_Data[[#This Row],[Emp ID]], Employee[], 4, FALSE)</f>
        <v>Henry Hall</v>
      </c>
      <c r="L990" t="str">
        <f>VLOOKUP(Call_Center_Data[[#This Row],[Call Type ID]], Call_Type[], 2, FALSE)</f>
        <v>Tech Sup</v>
      </c>
    </row>
    <row r="991" spans="1:12" x14ac:dyDescent="0.3">
      <c r="A991">
        <v>990</v>
      </c>
      <c r="B991">
        <v>3</v>
      </c>
      <c r="C991" s="1">
        <v>45584</v>
      </c>
      <c r="D991" s="2" t="s">
        <v>64</v>
      </c>
      <c r="E991">
        <v>1</v>
      </c>
      <c r="F991">
        <v>34</v>
      </c>
      <c r="G991">
        <v>189</v>
      </c>
      <c r="H991">
        <v>186</v>
      </c>
      <c r="I991" t="str">
        <f>VLOOKUP(Call_Center_Data[[#This Row],[Emp ID]],Employee[],2,FALSE)</f>
        <v>Jill Simons</v>
      </c>
      <c r="J991" t="str">
        <f>VLOOKUP(Call_Center_Data[[#This Row],[Emp ID]], Employee[], 3, FALSE)</f>
        <v>Spokane, WA</v>
      </c>
      <c r="K991" t="str">
        <f>VLOOKUP(Call_Center_Data[[#This Row],[Emp ID]], Employee[], 4, FALSE)</f>
        <v>Jenny Rhodes</v>
      </c>
      <c r="L991" t="str">
        <f>VLOOKUP(Call_Center_Data[[#This Row],[Call Type ID]], Call_Type[], 2, FALSE)</f>
        <v>Tech Sup</v>
      </c>
    </row>
    <row r="992" spans="1:12" x14ac:dyDescent="0.3">
      <c r="A992">
        <v>991</v>
      </c>
      <c r="B992">
        <v>2</v>
      </c>
      <c r="C992" s="1">
        <v>45585</v>
      </c>
      <c r="D992" s="2" t="s">
        <v>64</v>
      </c>
      <c r="E992">
        <v>1</v>
      </c>
      <c r="F992">
        <v>36</v>
      </c>
      <c r="G992">
        <v>171</v>
      </c>
      <c r="H992">
        <v>353</v>
      </c>
      <c r="I992" t="str">
        <f>VLOOKUP(Call_Center_Data[[#This Row],[Emp ID]],Employee[],2,FALSE)</f>
        <v>Jill Simons</v>
      </c>
      <c r="J992" t="str">
        <f>VLOOKUP(Call_Center_Data[[#This Row],[Emp ID]], Employee[], 3, FALSE)</f>
        <v>Spokane, WA</v>
      </c>
      <c r="K992" t="str">
        <f>VLOOKUP(Call_Center_Data[[#This Row],[Emp ID]], Employee[], 4, FALSE)</f>
        <v>Jenny Rhodes</v>
      </c>
      <c r="L992" t="str">
        <f>VLOOKUP(Call_Center_Data[[#This Row],[Call Type ID]], Call_Type[], 2, FALSE)</f>
        <v>Sales</v>
      </c>
    </row>
    <row r="993" spans="1:12" x14ac:dyDescent="0.3">
      <c r="A993">
        <v>992</v>
      </c>
      <c r="B993">
        <v>3</v>
      </c>
      <c r="C993" s="1">
        <v>45586</v>
      </c>
      <c r="D993" s="2" t="s">
        <v>88</v>
      </c>
      <c r="E993">
        <v>1</v>
      </c>
      <c r="F993">
        <v>47</v>
      </c>
      <c r="G993">
        <v>188</v>
      </c>
      <c r="H993">
        <v>172</v>
      </c>
      <c r="I993" t="str">
        <f>VLOOKUP(Call_Center_Data[[#This Row],[Emp ID]],Employee[],2,FALSE)</f>
        <v>Gina Gilder</v>
      </c>
      <c r="J993" t="str">
        <f>VLOOKUP(Call_Center_Data[[#This Row],[Emp ID]], Employee[], 3, FALSE)</f>
        <v>Jacksonville, WA</v>
      </c>
      <c r="K993" t="str">
        <f>VLOOKUP(Call_Center_Data[[#This Row],[Emp ID]], Employee[], 4, FALSE)</f>
        <v>Pierce Rhodes</v>
      </c>
      <c r="L993" t="str">
        <f>VLOOKUP(Call_Center_Data[[#This Row],[Call Type ID]], Call_Type[], 2, FALSE)</f>
        <v>Tech Sup</v>
      </c>
    </row>
    <row r="994" spans="1:12" x14ac:dyDescent="0.3">
      <c r="A994">
        <v>993</v>
      </c>
      <c r="B994">
        <v>2</v>
      </c>
      <c r="C994" s="1">
        <v>45587</v>
      </c>
      <c r="D994" s="2" t="s">
        <v>71</v>
      </c>
      <c r="E994">
        <v>1</v>
      </c>
      <c r="F994">
        <v>38</v>
      </c>
      <c r="G994">
        <v>177</v>
      </c>
      <c r="H994">
        <v>248</v>
      </c>
      <c r="I994" t="str">
        <f>VLOOKUP(Call_Center_Data[[#This Row],[Emp ID]],Employee[],2,FALSE)</f>
        <v>Sam Pat</v>
      </c>
      <c r="J994" t="str">
        <f>VLOOKUP(Call_Center_Data[[#This Row],[Emp ID]], Employee[], 3, FALSE)</f>
        <v>Aurora, CO</v>
      </c>
      <c r="K994" t="str">
        <f>VLOOKUP(Call_Center_Data[[#This Row],[Emp ID]], Employee[], 4, FALSE)</f>
        <v>Henry Mack</v>
      </c>
      <c r="L994" t="str">
        <f>VLOOKUP(Call_Center_Data[[#This Row],[Call Type ID]], Call_Type[], 2, FALSE)</f>
        <v>Sales</v>
      </c>
    </row>
    <row r="995" spans="1:12" x14ac:dyDescent="0.3">
      <c r="A995">
        <v>994</v>
      </c>
      <c r="B995">
        <v>2</v>
      </c>
      <c r="C995" s="1">
        <v>45588</v>
      </c>
      <c r="D995" s="2" t="s">
        <v>70</v>
      </c>
      <c r="E995">
        <v>0</v>
      </c>
      <c r="F995">
        <v>33</v>
      </c>
      <c r="G995">
        <v>164</v>
      </c>
      <c r="H995">
        <v>558</v>
      </c>
      <c r="I995" t="str">
        <f>VLOOKUP(Call_Center_Data[[#This Row],[Emp ID]],Employee[],2,FALSE)</f>
        <v>Jill Pat</v>
      </c>
      <c r="J995" t="str">
        <f>VLOOKUP(Call_Center_Data[[#This Row],[Emp ID]], Employee[], 3, FALSE)</f>
        <v>Aurora, CO</v>
      </c>
      <c r="K995" t="str">
        <f>VLOOKUP(Call_Center_Data[[#This Row],[Emp ID]], Employee[], 4, FALSE)</f>
        <v>Henry Rhodes</v>
      </c>
      <c r="L995" t="str">
        <f>VLOOKUP(Call_Center_Data[[#This Row],[Call Type ID]], Call_Type[], 2, FALSE)</f>
        <v>Sales</v>
      </c>
    </row>
    <row r="996" spans="1:12" x14ac:dyDescent="0.3">
      <c r="A996">
        <v>995</v>
      </c>
      <c r="B996">
        <v>3</v>
      </c>
      <c r="C996" s="1">
        <v>45589</v>
      </c>
      <c r="D996" s="2" t="s">
        <v>82</v>
      </c>
      <c r="E996">
        <v>0</v>
      </c>
      <c r="F996">
        <v>41</v>
      </c>
      <c r="G996">
        <v>176</v>
      </c>
      <c r="H996">
        <v>343</v>
      </c>
      <c r="I996" t="str">
        <f>VLOOKUP(Call_Center_Data[[#This Row],[Emp ID]],Employee[],2,FALSE)</f>
        <v>Ultor Gilder</v>
      </c>
      <c r="J996" t="str">
        <f>VLOOKUP(Call_Center_Data[[#This Row],[Emp ID]], Employee[], 3, FALSE)</f>
        <v>Aurora, CO</v>
      </c>
      <c r="K996" t="str">
        <f>VLOOKUP(Call_Center_Data[[#This Row],[Emp ID]], Employee[], 4, FALSE)</f>
        <v>Pierce Mack</v>
      </c>
      <c r="L996" t="str">
        <f>VLOOKUP(Call_Center_Data[[#This Row],[Call Type ID]], Call_Type[], 2, FALSE)</f>
        <v>Tech Sup</v>
      </c>
    </row>
    <row r="997" spans="1:12" x14ac:dyDescent="0.3">
      <c r="A997">
        <v>996</v>
      </c>
      <c r="B997">
        <v>1</v>
      </c>
      <c r="C997" s="1">
        <v>45590</v>
      </c>
      <c r="D997" s="2" t="s">
        <v>85</v>
      </c>
      <c r="E997">
        <v>1</v>
      </c>
      <c r="F997">
        <v>28</v>
      </c>
      <c r="G997">
        <v>169</v>
      </c>
      <c r="H997">
        <v>207</v>
      </c>
      <c r="I997" t="str">
        <f>VLOOKUP(Call_Center_Data[[#This Row],[Emp ID]],Employee[],2,FALSE)</f>
        <v>Tina Gilder</v>
      </c>
      <c r="J997" t="str">
        <f>VLOOKUP(Call_Center_Data[[#This Row],[Emp ID]], Employee[], 3, FALSE)</f>
        <v>Spokane, WA</v>
      </c>
      <c r="K997" t="str">
        <f>VLOOKUP(Call_Center_Data[[#This Row],[Emp ID]], Employee[], 4, FALSE)</f>
        <v>Timmy Baas</v>
      </c>
      <c r="L997" t="str">
        <f>VLOOKUP(Call_Center_Data[[#This Row],[Call Type ID]], Call_Type[], 2, FALSE)</f>
        <v>Billing</v>
      </c>
    </row>
    <row r="998" spans="1:12" x14ac:dyDescent="0.3">
      <c r="A998">
        <v>997</v>
      </c>
      <c r="B998">
        <v>2</v>
      </c>
      <c r="C998" s="1">
        <v>45591</v>
      </c>
      <c r="D998" s="2" t="s">
        <v>85</v>
      </c>
      <c r="E998">
        <v>0</v>
      </c>
      <c r="F998">
        <v>28</v>
      </c>
      <c r="G998">
        <v>159</v>
      </c>
      <c r="H998">
        <v>184</v>
      </c>
      <c r="I998" t="str">
        <f>VLOOKUP(Call_Center_Data[[#This Row],[Emp ID]],Employee[],2,FALSE)</f>
        <v>Tina Gilder</v>
      </c>
      <c r="J998" t="str">
        <f>VLOOKUP(Call_Center_Data[[#This Row],[Emp ID]], Employee[], 3, FALSE)</f>
        <v>Spokane, WA</v>
      </c>
      <c r="K998" t="str">
        <f>VLOOKUP(Call_Center_Data[[#This Row],[Emp ID]], Employee[], 4, FALSE)</f>
        <v>Timmy Baas</v>
      </c>
      <c r="L998" t="str">
        <f>VLOOKUP(Call_Center_Data[[#This Row],[Call Type ID]], Call_Type[], 2, FALSE)</f>
        <v>Sales</v>
      </c>
    </row>
    <row r="999" spans="1:12" x14ac:dyDescent="0.3">
      <c r="A999">
        <v>998</v>
      </c>
      <c r="B999">
        <v>3</v>
      </c>
      <c r="C999" s="1">
        <v>45592</v>
      </c>
      <c r="D999" s="2" t="s">
        <v>85</v>
      </c>
      <c r="E999">
        <v>0</v>
      </c>
      <c r="F999">
        <v>29</v>
      </c>
      <c r="G999">
        <v>174</v>
      </c>
      <c r="H999">
        <v>395</v>
      </c>
      <c r="I999" t="str">
        <f>VLOOKUP(Call_Center_Data[[#This Row],[Emp ID]],Employee[],2,FALSE)</f>
        <v>Tina Gilder</v>
      </c>
      <c r="J999" t="str">
        <f>VLOOKUP(Call_Center_Data[[#This Row],[Emp ID]], Employee[], 3, FALSE)</f>
        <v>Spokane, WA</v>
      </c>
      <c r="K999" t="str">
        <f>VLOOKUP(Call_Center_Data[[#This Row],[Emp ID]], Employee[], 4, FALSE)</f>
        <v>Timmy Baas</v>
      </c>
      <c r="L999" t="str">
        <f>VLOOKUP(Call_Center_Data[[#This Row],[Call Type ID]], Call_Type[], 2, FALSE)</f>
        <v>Tech Sup</v>
      </c>
    </row>
    <row r="1000" spans="1:12" x14ac:dyDescent="0.3">
      <c r="A1000">
        <v>999</v>
      </c>
      <c r="B1000">
        <v>1</v>
      </c>
      <c r="C1000" s="1">
        <v>45593</v>
      </c>
      <c r="D1000" s="2" t="s">
        <v>68</v>
      </c>
      <c r="E1000">
        <v>0</v>
      </c>
      <c r="F1000">
        <v>17</v>
      </c>
      <c r="G1000">
        <v>181</v>
      </c>
      <c r="H1000">
        <v>78</v>
      </c>
      <c r="I1000" t="str">
        <f>VLOOKUP(Call_Center_Data[[#This Row],[Emp ID]],Employee[],2,FALSE)</f>
        <v>Tina Saab</v>
      </c>
      <c r="J1000" t="str">
        <f>VLOOKUP(Call_Center_Data[[#This Row],[Emp ID]], Employee[], 3, FALSE)</f>
        <v>Spokane, WA</v>
      </c>
      <c r="K1000" t="str">
        <f>VLOOKUP(Call_Center_Data[[#This Row],[Emp ID]], Employee[], 4, FALSE)</f>
        <v>Henry Baas</v>
      </c>
      <c r="L1000" t="str">
        <f>VLOOKUP(Call_Center_Data[[#This Row],[Call Type ID]], Call_Type[], 2, FALSE)</f>
        <v>Billing</v>
      </c>
    </row>
    <row r="1001" spans="1:12" x14ac:dyDescent="0.3">
      <c r="A1001">
        <v>1000</v>
      </c>
      <c r="B1001">
        <v>1</v>
      </c>
      <c r="C1001" s="1">
        <v>45594</v>
      </c>
      <c r="D1001" s="2" t="s">
        <v>75</v>
      </c>
      <c r="E1001">
        <v>0</v>
      </c>
      <c r="F1001">
        <v>21</v>
      </c>
      <c r="G1001">
        <v>178</v>
      </c>
      <c r="H1001">
        <v>400</v>
      </c>
      <c r="I1001" t="str">
        <f>VLOOKUP(Call_Center_Data[[#This Row],[Emp ID]],Employee[],2,FALSE)</f>
        <v>Gina Pat</v>
      </c>
      <c r="J1001" t="str">
        <f>VLOOKUP(Call_Center_Data[[#This Row],[Emp ID]], Employee[], 3, FALSE)</f>
        <v>Spokane, WA</v>
      </c>
      <c r="K1001" t="str">
        <f>VLOOKUP(Call_Center_Data[[#This Row],[Emp ID]], Employee[], 4, FALSE)</f>
        <v>Henry Hall</v>
      </c>
      <c r="L1001" t="str">
        <f>VLOOKUP(Call_Center_Data[[#This Row],[Call Type ID]], Call_Type[], 2, FALSE)</f>
        <v>Billing</v>
      </c>
    </row>
    <row r="1002" spans="1:12" x14ac:dyDescent="0.3">
      <c r="A1002">
        <v>1001</v>
      </c>
      <c r="B1002">
        <v>3</v>
      </c>
      <c r="C1002" s="1">
        <v>45595</v>
      </c>
      <c r="D1002" s="2" t="s">
        <v>80</v>
      </c>
      <c r="E1002">
        <v>1</v>
      </c>
      <c r="F1002">
        <v>8</v>
      </c>
      <c r="G1002">
        <v>159</v>
      </c>
      <c r="H1002">
        <v>62</v>
      </c>
      <c r="I1002" t="str">
        <f>VLOOKUP(Call_Center_Data[[#This Row],[Emp ID]],Employee[],2,FALSE)</f>
        <v>Tina Simons</v>
      </c>
      <c r="J1002" t="str">
        <f>VLOOKUP(Call_Center_Data[[#This Row],[Emp ID]], Employee[], 3, FALSE)</f>
        <v>Aurora, CO</v>
      </c>
      <c r="K1002" t="str">
        <f>VLOOKUP(Call_Center_Data[[#This Row],[Emp ID]], Employee[], 4, FALSE)</f>
        <v>Pierce Gill</v>
      </c>
      <c r="L1002" t="str">
        <f>VLOOKUP(Call_Center_Data[[#This Row],[Call Type ID]], Call_Type[], 2, FALSE)</f>
        <v>Tech Sup</v>
      </c>
    </row>
    <row r="1003" spans="1:12" x14ac:dyDescent="0.3">
      <c r="A1003">
        <v>1002</v>
      </c>
      <c r="B1003">
        <v>1</v>
      </c>
      <c r="C1003" s="1">
        <v>45596</v>
      </c>
      <c r="D1003" s="2" t="s">
        <v>71</v>
      </c>
      <c r="E1003">
        <v>0</v>
      </c>
      <c r="F1003">
        <v>18</v>
      </c>
      <c r="G1003">
        <v>153</v>
      </c>
      <c r="H1003">
        <v>173</v>
      </c>
      <c r="I1003" t="str">
        <f>VLOOKUP(Call_Center_Data[[#This Row],[Emp ID]],Employee[],2,FALSE)</f>
        <v>Sam Pat</v>
      </c>
      <c r="J1003" t="str">
        <f>VLOOKUP(Call_Center_Data[[#This Row],[Emp ID]], Employee[], 3, FALSE)</f>
        <v>Aurora, CO</v>
      </c>
      <c r="K1003" t="str">
        <f>VLOOKUP(Call_Center_Data[[#This Row],[Emp ID]], Employee[], 4, FALSE)</f>
        <v>Henry Mack</v>
      </c>
      <c r="L1003" t="str">
        <f>VLOOKUP(Call_Center_Data[[#This Row],[Call Type ID]], Call_Type[], 2, FALSE)</f>
        <v>Billing</v>
      </c>
    </row>
    <row r="1004" spans="1:12" x14ac:dyDescent="0.3">
      <c r="A1004">
        <v>1003</v>
      </c>
      <c r="B1004">
        <v>1</v>
      </c>
      <c r="C1004" s="1">
        <v>45597</v>
      </c>
      <c r="D1004" s="2" t="s">
        <v>69</v>
      </c>
      <c r="E1004">
        <v>0</v>
      </c>
      <c r="F1004">
        <v>33</v>
      </c>
      <c r="G1004">
        <v>177</v>
      </c>
      <c r="H1004">
        <v>275</v>
      </c>
      <c r="I1004" t="str">
        <f>VLOOKUP(Call_Center_Data[[#This Row],[Emp ID]],Employee[],2,FALSE)</f>
        <v>Sam Gilder</v>
      </c>
      <c r="J1004" t="str">
        <f>VLOOKUP(Call_Center_Data[[#This Row],[Emp ID]], Employee[], 3, FALSE)</f>
        <v>Jacksonville, WA</v>
      </c>
      <c r="K1004" t="str">
        <f>VLOOKUP(Call_Center_Data[[#This Row],[Emp ID]], Employee[], 4, FALSE)</f>
        <v>Timmy Hall</v>
      </c>
      <c r="L1004" t="str">
        <f>VLOOKUP(Call_Center_Data[[#This Row],[Call Type ID]], Call_Type[], 2, FALSE)</f>
        <v>Billing</v>
      </c>
    </row>
    <row r="1005" spans="1:12" x14ac:dyDescent="0.3">
      <c r="A1005">
        <v>1004</v>
      </c>
      <c r="B1005">
        <v>3</v>
      </c>
      <c r="C1005" s="1">
        <v>45598</v>
      </c>
      <c r="D1005" s="2" t="s">
        <v>72</v>
      </c>
      <c r="E1005">
        <v>1</v>
      </c>
      <c r="F1005">
        <v>30</v>
      </c>
      <c r="G1005">
        <v>172</v>
      </c>
      <c r="H1005">
        <v>310</v>
      </c>
      <c r="I1005" t="str">
        <f>VLOOKUP(Call_Center_Data[[#This Row],[Emp ID]],Employee[],2,FALSE)</f>
        <v>Ultor Pat</v>
      </c>
      <c r="J1005" t="str">
        <f>VLOOKUP(Call_Center_Data[[#This Row],[Emp ID]], Employee[], 3, FALSE)</f>
        <v>Jacksonville, WA</v>
      </c>
      <c r="K1005" t="str">
        <f>VLOOKUP(Call_Center_Data[[#This Row],[Emp ID]], Employee[], 4, FALSE)</f>
        <v>Jenny Hall</v>
      </c>
      <c r="L1005" t="str">
        <f>VLOOKUP(Call_Center_Data[[#This Row],[Call Type ID]], Call_Type[], 2, FALSE)</f>
        <v>Tech Sup</v>
      </c>
    </row>
    <row r="1006" spans="1:12" x14ac:dyDescent="0.3">
      <c r="A1006">
        <v>1005</v>
      </c>
      <c r="B1006">
        <v>1</v>
      </c>
      <c r="C1006" s="1">
        <v>45599</v>
      </c>
      <c r="D1006" s="2" t="s">
        <v>71</v>
      </c>
      <c r="E1006">
        <v>0</v>
      </c>
      <c r="F1006">
        <v>32</v>
      </c>
      <c r="G1006">
        <v>165</v>
      </c>
      <c r="H1006">
        <v>372</v>
      </c>
      <c r="I1006" t="str">
        <f>VLOOKUP(Call_Center_Data[[#This Row],[Emp ID]],Employee[],2,FALSE)</f>
        <v>Sam Pat</v>
      </c>
      <c r="J1006" t="str">
        <f>VLOOKUP(Call_Center_Data[[#This Row],[Emp ID]], Employee[], 3, FALSE)</f>
        <v>Aurora, CO</v>
      </c>
      <c r="K1006" t="str">
        <f>VLOOKUP(Call_Center_Data[[#This Row],[Emp ID]], Employee[], 4, FALSE)</f>
        <v>Henry Mack</v>
      </c>
      <c r="L1006" t="str">
        <f>VLOOKUP(Call_Center_Data[[#This Row],[Call Type ID]], Call_Type[], 2, FALSE)</f>
        <v>Billing</v>
      </c>
    </row>
    <row r="1007" spans="1:12" x14ac:dyDescent="0.3">
      <c r="A1007">
        <v>1006</v>
      </c>
      <c r="B1007">
        <v>2</v>
      </c>
      <c r="C1007" s="1">
        <v>45600</v>
      </c>
      <c r="D1007" s="2" t="s">
        <v>67</v>
      </c>
      <c r="E1007">
        <v>0</v>
      </c>
      <c r="F1007">
        <v>16</v>
      </c>
      <c r="G1007">
        <v>91</v>
      </c>
      <c r="H1007">
        <v>186</v>
      </c>
      <c r="I1007" t="str">
        <f>VLOOKUP(Call_Center_Data[[#This Row],[Emp ID]],Employee[],2,FALSE)</f>
        <v>Tina Pat</v>
      </c>
      <c r="J1007" t="str">
        <f>VLOOKUP(Call_Center_Data[[#This Row],[Emp ID]], Employee[], 3, FALSE)</f>
        <v>Jacksonville, WA</v>
      </c>
      <c r="K1007" t="str">
        <f>VLOOKUP(Call_Center_Data[[#This Row],[Emp ID]], Employee[], 4, FALSE)</f>
        <v>John Hall</v>
      </c>
      <c r="L1007" t="str">
        <f>VLOOKUP(Call_Center_Data[[#This Row],[Call Type ID]], Call_Type[], 2, FALSE)</f>
        <v>Sales</v>
      </c>
    </row>
    <row r="1008" spans="1:12" x14ac:dyDescent="0.3">
      <c r="A1008">
        <v>1007</v>
      </c>
      <c r="B1008">
        <v>3</v>
      </c>
      <c r="C1008" s="1">
        <v>45601</v>
      </c>
      <c r="D1008" s="2" t="s">
        <v>65</v>
      </c>
      <c r="E1008">
        <v>1</v>
      </c>
      <c r="F1008">
        <v>28</v>
      </c>
      <c r="G1008">
        <v>176</v>
      </c>
      <c r="H1008">
        <v>196</v>
      </c>
      <c r="I1008" t="str">
        <f>VLOOKUP(Call_Center_Data[[#This Row],[Emp ID]],Employee[],2,FALSE)</f>
        <v>Ultor John</v>
      </c>
      <c r="J1008" t="str">
        <f>VLOOKUP(Call_Center_Data[[#This Row],[Emp ID]], Employee[], 3, FALSE)</f>
        <v>Spokane, WA</v>
      </c>
      <c r="K1008" t="str">
        <f>VLOOKUP(Call_Center_Data[[#This Row],[Emp ID]], Employee[], 4, FALSE)</f>
        <v>John Mack</v>
      </c>
      <c r="L1008" t="str">
        <f>VLOOKUP(Call_Center_Data[[#This Row],[Call Type ID]], Call_Type[], 2, FALSE)</f>
        <v>Tech Sup</v>
      </c>
    </row>
    <row r="1009" spans="1:12" x14ac:dyDescent="0.3">
      <c r="A1009">
        <v>1008</v>
      </c>
      <c r="B1009">
        <v>2</v>
      </c>
      <c r="C1009" s="1">
        <v>45602</v>
      </c>
      <c r="D1009" s="2" t="s">
        <v>69</v>
      </c>
      <c r="E1009">
        <v>0</v>
      </c>
      <c r="F1009">
        <v>21</v>
      </c>
      <c r="G1009">
        <v>160</v>
      </c>
      <c r="H1009">
        <v>203</v>
      </c>
      <c r="I1009" t="str">
        <f>VLOOKUP(Call_Center_Data[[#This Row],[Emp ID]],Employee[],2,FALSE)</f>
        <v>Sam Gilder</v>
      </c>
      <c r="J1009" t="str">
        <f>VLOOKUP(Call_Center_Data[[#This Row],[Emp ID]], Employee[], 3, FALSE)</f>
        <v>Jacksonville, WA</v>
      </c>
      <c r="K1009" t="str">
        <f>VLOOKUP(Call_Center_Data[[#This Row],[Emp ID]], Employee[], 4, FALSE)</f>
        <v>Timmy Hall</v>
      </c>
      <c r="L1009" t="str">
        <f>VLOOKUP(Call_Center_Data[[#This Row],[Call Type ID]], Call_Type[], 2, FALSE)</f>
        <v>Sales</v>
      </c>
    </row>
    <row r="1010" spans="1:12" x14ac:dyDescent="0.3">
      <c r="A1010">
        <v>1009</v>
      </c>
      <c r="B1010">
        <v>3</v>
      </c>
      <c r="C1010" s="1">
        <v>45603</v>
      </c>
      <c r="D1010" s="2" t="s">
        <v>78</v>
      </c>
      <c r="E1010">
        <v>1</v>
      </c>
      <c r="F1010">
        <v>19</v>
      </c>
      <c r="G1010">
        <v>154</v>
      </c>
      <c r="H1010">
        <v>127</v>
      </c>
      <c r="I1010" t="str">
        <f>VLOOKUP(Call_Center_Data[[#This Row],[Emp ID]],Employee[],2,FALSE)</f>
        <v>Jill Saab</v>
      </c>
      <c r="J1010" t="str">
        <f>VLOOKUP(Call_Center_Data[[#This Row],[Emp ID]], Employee[], 3, FALSE)</f>
        <v>Spokane, WA</v>
      </c>
      <c r="K1010" t="str">
        <f>VLOOKUP(Call_Center_Data[[#This Row],[Emp ID]], Employee[], 4, FALSE)</f>
        <v>Timmy Gill</v>
      </c>
      <c r="L1010" t="str">
        <f>VLOOKUP(Call_Center_Data[[#This Row],[Call Type ID]], Call_Type[], 2, FALSE)</f>
        <v>Tech Sup</v>
      </c>
    </row>
    <row r="1011" spans="1:12" x14ac:dyDescent="0.3">
      <c r="A1011">
        <v>1010</v>
      </c>
      <c r="B1011">
        <v>1</v>
      </c>
      <c r="C1011" s="1">
        <v>45604</v>
      </c>
      <c r="D1011" s="2" t="s">
        <v>84</v>
      </c>
      <c r="E1011">
        <v>1</v>
      </c>
      <c r="F1011">
        <v>50</v>
      </c>
      <c r="G1011">
        <v>184</v>
      </c>
      <c r="H1011">
        <v>361</v>
      </c>
      <c r="I1011" t="str">
        <f>VLOOKUP(Call_Center_Data[[#This Row],[Emp ID]],Employee[],2,FALSE)</f>
        <v>Sam John</v>
      </c>
      <c r="J1011" t="str">
        <f>VLOOKUP(Call_Center_Data[[#This Row],[Emp ID]], Employee[], 3, FALSE)</f>
        <v>Aurora, CO</v>
      </c>
      <c r="K1011" t="str">
        <f>VLOOKUP(Call_Center_Data[[#This Row],[Emp ID]], Employee[], 4, FALSE)</f>
        <v>Jenny Mack</v>
      </c>
      <c r="L1011" t="str">
        <f>VLOOKUP(Call_Center_Data[[#This Row],[Call Type ID]], Call_Type[], 2, FALSE)</f>
        <v>Billing</v>
      </c>
    </row>
    <row r="1012" spans="1:12" x14ac:dyDescent="0.3">
      <c r="A1012">
        <v>1011</v>
      </c>
      <c r="B1012">
        <v>2</v>
      </c>
      <c r="C1012" s="1">
        <v>45605</v>
      </c>
      <c r="D1012" s="2" t="s">
        <v>87</v>
      </c>
      <c r="E1012">
        <v>0</v>
      </c>
      <c r="F1012">
        <v>33</v>
      </c>
      <c r="G1012">
        <v>172</v>
      </c>
      <c r="H1012">
        <v>310</v>
      </c>
      <c r="I1012" t="str">
        <f>VLOOKUP(Call_Center_Data[[#This Row],[Emp ID]],Employee[],2,FALSE)</f>
        <v>Gina Saab</v>
      </c>
      <c r="J1012" t="str">
        <f>VLOOKUP(Call_Center_Data[[#This Row],[Emp ID]], Employee[], 3, FALSE)</f>
        <v>Jacksonville, WA</v>
      </c>
      <c r="K1012" t="str">
        <f>VLOOKUP(Call_Center_Data[[#This Row],[Emp ID]], Employee[], 4, FALSE)</f>
        <v>Jenny Gill</v>
      </c>
      <c r="L1012" t="str">
        <f>VLOOKUP(Call_Center_Data[[#This Row],[Call Type ID]], Call_Type[], 2, FALSE)</f>
        <v>Sales</v>
      </c>
    </row>
    <row r="1013" spans="1:12" x14ac:dyDescent="0.3">
      <c r="A1013">
        <v>1012</v>
      </c>
      <c r="B1013">
        <v>1</v>
      </c>
      <c r="C1013" s="1">
        <v>45606</v>
      </c>
      <c r="D1013" s="2" t="s">
        <v>82</v>
      </c>
      <c r="E1013">
        <v>1</v>
      </c>
      <c r="F1013">
        <v>15</v>
      </c>
      <c r="G1013">
        <v>223</v>
      </c>
      <c r="H1013">
        <v>92</v>
      </c>
      <c r="I1013" t="str">
        <f>VLOOKUP(Call_Center_Data[[#This Row],[Emp ID]],Employee[],2,FALSE)</f>
        <v>Ultor Gilder</v>
      </c>
      <c r="J1013" t="str">
        <f>VLOOKUP(Call_Center_Data[[#This Row],[Emp ID]], Employee[], 3, FALSE)</f>
        <v>Aurora, CO</v>
      </c>
      <c r="K1013" t="str">
        <f>VLOOKUP(Call_Center_Data[[#This Row],[Emp ID]], Employee[], 4, FALSE)</f>
        <v>Pierce Mack</v>
      </c>
      <c r="L1013" t="str">
        <f>VLOOKUP(Call_Center_Data[[#This Row],[Call Type ID]], Call_Type[], 2, FALSE)</f>
        <v>Billing</v>
      </c>
    </row>
    <row r="1014" spans="1:12" x14ac:dyDescent="0.3">
      <c r="A1014">
        <v>1013</v>
      </c>
      <c r="B1014">
        <v>1</v>
      </c>
      <c r="C1014" s="1">
        <v>45607</v>
      </c>
      <c r="D1014" s="2" t="s">
        <v>80</v>
      </c>
      <c r="E1014">
        <v>1</v>
      </c>
      <c r="F1014">
        <v>3</v>
      </c>
      <c r="G1014">
        <v>176</v>
      </c>
      <c r="H1014">
        <v>6</v>
      </c>
      <c r="I1014" t="str">
        <f>VLOOKUP(Call_Center_Data[[#This Row],[Emp ID]],Employee[],2,FALSE)</f>
        <v>Tina Simons</v>
      </c>
      <c r="J1014" t="str">
        <f>VLOOKUP(Call_Center_Data[[#This Row],[Emp ID]], Employee[], 3, FALSE)</f>
        <v>Aurora, CO</v>
      </c>
      <c r="K1014" t="str">
        <f>VLOOKUP(Call_Center_Data[[#This Row],[Emp ID]], Employee[], 4, FALSE)</f>
        <v>Pierce Gill</v>
      </c>
      <c r="L1014" t="str">
        <f>VLOOKUP(Call_Center_Data[[#This Row],[Call Type ID]], Call_Type[], 2, FALSE)</f>
        <v>Billing</v>
      </c>
    </row>
    <row r="1015" spans="1:12" x14ac:dyDescent="0.3">
      <c r="A1015">
        <v>1014</v>
      </c>
      <c r="B1015">
        <v>2</v>
      </c>
      <c r="C1015" s="1">
        <v>45608</v>
      </c>
      <c r="D1015" s="2" t="s">
        <v>73</v>
      </c>
      <c r="E1015">
        <v>1</v>
      </c>
      <c r="F1015">
        <v>22</v>
      </c>
      <c r="G1015">
        <v>156</v>
      </c>
      <c r="H1015">
        <v>195</v>
      </c>
      <c r="I1015" t="str">
        <f>VLOOKUP(Call_Center_Data[[#This Row],[Emp ID]],Employee[],2,FALSE)</f>
        <v>Jill John</v>
      </c>
      <c r="J1015" t="str">
        <f>VLOOKUP(Call_Center_Data[[#This Row],[Emp ID]], Employee[], 3, FALSE)</f>
        <v>Spokane, WA</v>
      </c>
      <c r="K1015" t="str">
        <f>VLOOKUP(Call_Center_Data[[#This Row],[Emp ID]], Employee[], 4, FALSE)</f>
        <v>John Gill</v>
      </c>
      <c r="L1015" t="str">
        <f>VLOOKUP(Call_Center_Data[[#This Row],[Call Type ID]], Call_Type[], 2, FALSE)</f>
        <v>Sales</v>
      </c>
    </row>
    <row r="1016" spans="1:12" x14ac:dyDescent="0.3">
      <c r="A1016">
        <v>1015</v>
      </c>
      <c r="B1016">
        <v>3</v>
      </c>
      <c r="C1016" s="1">
        <v>45609</v>
      </c>
      <c r="D1016" s="2" t="s">
        <v>87</v>
      </c>
      <c r="E1016">
        <v>0</v>
      </c>
      <c r="F1016">
        <v>22</v>
      </c>
      <c r="G1016">
        <v>171</v>
      </c>
      <c r="H1016">
        <v>310</v>
      </c>
      <c r="I1016" t="str">
        <f>VLOOKUP(Call_Center_Data[[#This Row],[Emp ID]],Employee[],2,FALSE)</f>
        <v>Gina Saab</v>
      </c>
      <c r="J1016" t="str">
        <f>VLOOKUP(Call_Center_Data[[#This Row],[Emp ID]], Employee[], 3, FALSE)</f>
        <v>Jacksonville, WA</v>
      </c>
      <c r="K1016" t="str">
        <f>VLOOKUP(Call_Center_Data[[#This Row],[Emp ID]], Employee[], 4, FALSE)</f>
        <v>Jenny Gill</v>
      </c>
      <c r="L1016" t="str">
        <f>VLOOKUP(Call_Center_Data[[#This Row],[Call Type ID]], Call_Type[], 2, FALSE)</f>
        <v>Tech Sup</v>
      </c>
    </row>
    <row r="1017" spans="1:12" x14ac:dyDescent="0.3">
      <c r="A1017">
        <v>1016</v>
      </c>
      <c r="B1017">
        <v>1</v>
      </c>
      <c r="C1017" s="1">
        <v>45610</v>
      </c>
      <c r="D1017" s="2" t="s">
        <v>83</v>
      </c>
      <c r="E1017">
        <v>0</v>
      </c>
      <c r="F1017">
        <v>29</v>
      </c>
      <c r="G1017">
        <v>167</v>
      </c>
      <c r="H1017">
        <v>251</v>
      </c>
      <c r="I1017" t="str">
        <f>VLOOKUP(Call_Center_Data[[#This Row],[Emp ID]],Employee[],2,FALSE)</f>
        <v>Ultor Simons</v>
      </c>
      <c r="J1017" t="str">
        <f>VLOOKUP(Call_Center_Data[[#This Row],[Emp ID]], Employee[], 3, FALSE)</f>
        <v>Jacksonville, WA</v>
      </c>
      <c r="K1017" t="str">
        <f>VLOOKUP(Call_Center_Data[[#This Row],[Emp ID]], Employee[], 4, FALSE)</f>
        <v>Pierce Hall</v>
      </c>
      <c r="L1017" t="str">
        <f>VLOOKUP(Call_Center_Data[[#This Row],[Call Type ID]], Call_Type[], 2, FALSE)</f>
        <v>Billing</v>
      </c>
    </row>
    <row r="1018" spans="1:12" x14ac:dyDescent="0.3">
      <c r="A1018">
        <v>1017</v>
      </c>
      <c r="B1018">
        <v>2</v>
      </c>
      <c r="C1018" s="1">
        <v>45611</v>
      </c>
      <c r="D1018" s="2" t="s">
        <v>84</v>
      </c>
      <c r="E1018">
        <v>0</v>
      </c>
      <c r="F1018">
        <v>37</v>
      </c>
      <c r="G1018">
        <v>167</v>
      </c>
      <c r="H1018">
        <v>257</v>
      </c>
      <c r="I1018" t="str">
        <f>VLOOKUP(Call_Center_Data[[#This Row],[Emp ID]],Employee[],2,FALSE)</f>
        <v>Sam John</v>
      </c>
      <c r="J1018" t="str">
        <f>VLOOKUP(Call_Center_Data[[#This Row],[Emp ID]], Employee[], 3, FALSE)</f>
        <v>Aurora, CO</v>
      </c>
      <c r="K1018" t="str">
        <f>VLOOKUP(Call_Center_Data[[#This Row],[Emp ID]], Employee[], 4, FALSE)</f>
        <v>Jenny Mack</v>
      </c>
      <c r="L1018" t="str">
        <f>VLOOKUP(Call_Center_Data[[#This Row],[Call Type ID]], Call_Type[], 2, FALSE)</f>
        <v>Sales</v>
      </c>
    </row>
    <row r="1019" spans="1:12" x14ac:dyDescent="0.3">
      <c r="A1019">
        <v>1018</v>
      </c>
      <c r="B1019">
        <v>3</v>
      </c>
      <c r="C1019" s="1">
        <v>45612</v>
      </c>
      <c r="D1019" s="2" t="s">
        <v>64</v>
      </c>
      <c r="E1019">
        <v>0</v>
      </c>
      <c r="F1019">
        <v>31</v>
      </c>
      <c r="G1019">
        <v>170</v>
      </c>
      <c r="H1019">
        <v>346</v>
      </c>
      <c r="I1019" t="str">
        <f>VLOOKUP(Call_Center_Data[[#This Row],[Emp ID]],Employee[],2,FALSE)</f>
        <v>Jill Simons</v>
      </c>
      <c r="J1019" t="str">
        <f>VLOOKUP(Call_Center_Data[[#This Row],[Emp ID]], Employee[], 3, FALSE)</f>
        <v>Spokane, WA</v>
      </c>
      <c r="K1019" t="str">
        <f>VLOOKUP(Call_Center_Data[[#This Row],[Emp ID]], Employee[], 4, FALSE)</f>
        <v>Jenny Rhodes</v>
      </c>
      <c r="L1019" t="str">
        <f>VLOOKUP(Call_Center_Data[[#This Row],[Call Type ID]], Call_Type[], 2, FALSE)</f>
        <v>Tech Sup</v>
      </c>
    </row>
    <row r="1020" spans="1:12" x14ac:dyDescent="0.3">
      <c r="A1020">
        <v>1019</v>
      </c>
      <c r="B1020">
        <v>1</v>
      </c>
      <c r="C1020" s="1">
        <v>45613</v>
      </c>
      <c r="D1020" s="2" t="s">
        <v>66</v>
      </c>
      <c r="E1020">
        <v>0</v>
      </c>
      <c r="F1020">
        <v>29</v>
      </c>
      <c r="G1020">
        <v>138</v>
      </c>
      <c r="H1020">
        <v>310</v>
      </c>
      <c r="I1020" t="str">
        <f>VLOOKUP(Call_Center_Data[[#This Row],[Emp ID]],Employee[],2,FALSE)</f>
        <v>Tina John</v>
      </c>
      <c r="J1020" t="str">
        <f>VLOOKUP(Call_Center_Data[[#This Row],[Emp ID]], Employee[], 3, FALSE)</f>
        <v>Aurora, CO</v>
      </c>
      <c r="K1020" t="str">
        <f>VLOOKUP(Call_Center_Data[[#This Row],[Emp ID]], Employee[], 4, FALSE)</f>
        <v>Timmy Rhodes</v>
      </c>
      <c r="L1020" t="str">
        <f>VLOOKUP(Call_Center_Data[[#This Row],[Call Type ID]], Call_Type[], 2, FALSE)</f>
        <v>Billing</v>
      </c>
    </row>
    <row r="1021" spans="1:12" x14ac:dyDescent="0.3">
      <c r="A1021">
        <v>1020</v>
      </c>
      <c r="B1021">
        <v>1</v>
      </c>
      <c r="C1021" s="1">
        <v>45614</v>
      </c>
      <c r="D1021" s="2" t="s">
        <v>76</v>
      </c>
      <c r="E1021">
        <v>0</v>
      </c>
      <c r="F1021">
        <v>9</v>
      </c>
      <c r="G1021">
        <v>148</v>
      </c>
      <c r="H1021">
        <v>65</v>
      </c>
      <c r="I1021" t="str">
        <f>VLOOKUP(Call_Center_Data[[#This Row],[Emp ID]],Employee[],2,FALSE)</f>
        <v>Ultor Saab</v>
      </c>
      <c r="J1021" t="str">
        <f>VLOOKUP(Call_Center_Data[[#This Row],[Emp ID]], Employee[], 3, FALSE)</f>
        <v>Aurora, CO</v>
      </c>
      <c r="K1021" t="str">
        <f>VLOOKUP(Call_Center_Data[[#This Row],[Emp ID]], Employee[], 4, FALSE)</f>
        <v>Pierce Baas</v>
      </c>
      <c r="L1021" t="str">
        <f>VLOOKUP(Call_Center_Data[[#This Row],[Call Type ID]], Call_Type[], 2, FALSE)</f>
        <v>Billing</v>
      </c>
    </row>
    <row r="1022" spans="1:12" x14ac:dyDescent="0.3">
      <c r="A1022">
        <v>1021</v>
      </c>
      <c r="B1022">
        <v>1</v>
      </c>
      <c r="C1022" s="1">
        <v>45615</v>
      </c>
      <c r="D1022" s="2" t="s">
        <v>87</v>
      </c>
      <c r="E1022">
        <v>1</v>
      </c>
      <c r="F1022">
        <v>19</v>
      </c>
      <c r="G1022">
        <v>150</v>
      </c>
      <c r="H1022">
        <v>151</v>
      </c>
      <c r="I1022" t="str">
        <f>VLOOKUP(Call_Center_Data[[#This Row],[Emp ID]],Employee[],2,FALSE)</f>
        <v>Gina Saab</v>
      </c>
      <c r="J1022" t="str">
        <f>VLOOKUP(Call_Center_Data[[#This Row],[Emp ID]], Employee[], 3, FALSE)</f>
        <v>Jacksonville, WA</v>
      </c>
      <c r="K1022" t="str">
        <f>VLOOKUP(Call_Center_Data[[#This Row],[Emp ID]], Employee[], 4, FALSE)</f>
        <v>Jenny Gill</v>
      </c>
      <c r="L1022" t="str">
        <f>VLOOKUP(Call_Center_Data[[#This Row],[Call Type ID]], Call_Type[], 2, FALSE)</f>
        <v>Billing</v>
      </c>
    </row>
    <row r="1023" spans="1:12" x14ac:dyDescent="0.3">
      <c r="A1023">
        <v>1022</v>
      </c>
      <c r="B1023">
        <v>1</v>
      </c>
      <c r="C1023" s="1">
        <v>45616</v>
      </c>
      <c r="D1023" s="2" t="s">
        <v>75</v>
      </c>
      <c r="E1023">
        <v>0</v>
      </c>
      <c r="F1023">
        <v>16</v>
      </c>
      <c r="G1023">
        <v>140</v>
      </c>
      <c r="H1023">
        <v>186</v>
      </c>
      <c r="I1023" t="str">
        <f>VLOOKUP(Call_Center_Data[[#This Row],[Emp ID]],Employee[],2,FALSE)</f>
        <v>Gina Pat</v>
      </c>
      <c r="J1023" t="str">
        <f>VLOOKUP(Call_Center_Data[[#This Row],[Emp ID]], Employee[], 3, FALSE)</f>
        <v>Spokane, WA</v>
      </c>
      <c r="K1023" t="str">
        <f>VLOOKUP(Call_Center_Data[[#This Row],[Emp ID]], Employee[], 4, FALSE)</f>
        <v>Henry Hall</v>
      </c>
      <c r="L1023" t="str">
        <f>VLOOKUP(Call_Center_Data[[#This Row],[Call Type ID]], Call_Type[], 2, FALSE)</f>
        <v>Billing</v>
      </c>
    </row>
    <row r="1024" spans="1:12" x14ac:dyDescent="0.3">
      <c r="A1024">
        <v>1023</v>
      </c>
      <c r="B1024">
        <v>3</v>
      </c>
      <c r="C1024" s="1">
        <v>45617</v>
      </c>
      <c r="D1024" s="2" t="s">
        <v>73</v>
      </c>
      <c r="E1024">
        <v>1</v>
      </c>
      <c r="F1024">
        <v>39</v>
      </c>
      <c r="G1024">
        <v>128</v>
      </c>
      <c r="H1024">
        <v>478</v>
      </c>
      <c r="I1024" t="str">
        <f>VLOOKUP(Call_Center_Data[[#This Row],[Emp ID]],Employee[],2,FALSE)</f>
        <v>Jill John</v>
      </c>
      <c r="J1024" t="str">
        <f>VLOOKUP(Call_Center_Data[[#This Row],[Emp ID]], Employee[], 3, FALSE)</f>
        <v>Spokane, WA</v>
      </c>
      <c r="K1024" t="str">
        <f>VLOOKUP(Call_Center_Data[[#This Row],[Emp ID]], Employee[], 4, FALSE)</f>
        <v>John Gill</v>
      </c>
      <c r="L1024" t="str">
        <f>VLOOKUP(Call_Center_Data[[#This Row],[Call Type ID]], Call_Type[], 2, FALSE)</f>
        <v>Tech Sup</v>
      </c>
    </row>
    <row r="1025" spans="1:12" x14ac:dyDescent="0.3">
      <c r="A1025">
        <v>1024</v>
      </c>
      <c r="B1025">
        <v>1</v>
      </c>
      <c r="C1025" s="1">
        <v>45618</v>
      </c>
      <c r="D1025" s="2" t="s">
        <v>71</v>
      </c>
      <c r="E1025">
        <v>0</v>
      </c>
      <c r="F1025">
        <v>40</v>
      </c>
      <c r="G1025">
        <v>172</v>
      </c>
      <c r="H1025">
        <v>373</v>
      </c>
      <c r="I1025" t="str">
        <f>VLOOKUP(Call_Center_Data[[#This Row],[Emp ID]],Employee[],2,FALSE)</f>
        <v>Sam Pat</v>
      </c>
      <c r="J1025" t="str">
        <f>VLOOKUP(Call_Center_Data[[#This Row],[Emp ID]], Employee[], 3, FALSE)</f>
        <v>Aurora, CO</v>
      </c>
      <c r="K1025" t="str">
        <f>VLOOKUP(Call_Center_Data[[#This Row],[Emp ID]], Employee[], 4, FALSE)</f>
        <v>Henry Mack</v>
      </c>
      <c r="L1025" t="str">
        <f>VLOOKUP(Call_Center_Data[[#This Row],[Call Type ID]], Call_Type[], 2, FALSE)</f>
        <v>Billing</v>
      </c>
    </row>
    <row r="1026" spans="1:12" x14ac:dyDescent="0.3">
      <c r="A1026">
        <v>1025</v>
      </c>
      <c r="B1026">
        <v>2</v>
      </c>
      <c r="C1026" s="1">
        <v>45619</v>
      </c>
      <c r="D1026" s="2" t="s">
        <v>73</v>
      </c>
      <c r="E1026">
        <v>0</v>
      </c>
      <c r="F1026">
        <v>17</v>
      </c>
      <c r="G1026">
        <v>166</v>
      </c>
      <c r="H1026">
        <v>164</v>
      </c>
      <c r="I1026" t="str">
        <f>VLOOKUP(Call_Center_Data[[#This Row],[Emp ID]],Employee[],2,FALSE)</f>
        <v>Jill John</v>
      </c>
      <c r="J1026" t="str">
        <f>VLOOKUP(Call_Center_Data[[#This Row],[Emp ID]], Employee[], 3, FALSE)</f>
        <v>Spokane, WA</v>
      </c>
      <c r="K1026" t="str">
        <f>VLOOKUP(Call_Center_Data[[#This Row],[Emp ID]], Employee[], 4, FALSE)</f>
        <v>John Gill</v>
      </c>
      <c r="L1026" t="str">
        <f>VLOOKUP(Call_Center_Data[[#This Row],[Call Type ID]], Call_Type[], 2, FALSE)</f>
        <v>Sales</v>
      </c>
    </row>
    <row r="1027" spans="1:12" x14ac:dyDescent="0.3">
      <c r="A1027">
        <v>1026</v>
      </c>
      <c r="B1027">
        <v>2</v>
      </c>
      <c r="C1027" s="1">
        <v>45620</v>
      </c>
      <c r="D1027" s="2" t="s">
        <v>66</v>
      </c>
      <c r="E1027">
        <v>1</v>
      </c>
      <c r="F1027">
        <v>13</v>
      </c>
      <c r="G1027">
        <v>157</v>
      </c>
      <c r="H1027">
        <v>310</v>
      </c>
      <c r="I1027" t="str">
        <f>VLOOKUP(Call_Center_Data[[#This Row],[Emp ID]],Employee[],2,FALSE)</f>
        <v>Tina John</v>
      </c>
      <c r="J1027" t="str">
        <f>VLOOKUP(Call_Center_Data[[#This Row],[Emp ID]], Employee[], 3, FALSE)</f>
        <v>Aurora, CO</v>
      </c>
      <c r="K1027" t="str">
        <f>VLOOKUP(Call_Center_Data[[#This Row],[Emp ID]], Employee[], 4, FALSE)</f>
        <v>Timmy Rhodes</v>
      </c>
      <c r="L1027" t="str">
        <f>VLOOKUP(Call_Center_Data[[#This Row],[Call Type ID]], Call_Type[], 2, FALSE)</f>
        <v>Sales</v>
      </c>
    </row>
    <row r="1028" spans="1:12" x14ac:dyDescent="0.3">
      <c r="A1028">
        <v>1027</v>
      </c>
      <c r="B1028">
        <v>2</v>
      </c>
      <c r="C1028" s="1">
        <v>45621</v>
      </c>
      <c r="D1028" s="2" t="s">
        <v>74</v>
      </c>
      <c r="E1028">
        <v>0</v>
      </c>
      <c r="F1028">
        <v>20</v>
      </c>
      <c r="G1028">
        <v>125</v>
      </c>
      <c r="H1028">
        <v>223</v>
      </c>
      <c r="I1028" t="str">
        <f>VLOOKUP(Call_Center_Data[[#This Row],[Emp ID]],Employee[],2,FALSE)</f>
        <v>Gina John</v>
      </c>
      <c r="J1028" t="str">
        <f>VLOOKUP(Call_Center_Data[[#This Row],[Emp ID]], Employee[], 3, FALSE)</f>
        <v>Jacksonville, WA</v>
      </c>
      <c r="K1028" t="str">
        <f>VLOOKUP(Call_Center_Data[[#This Row],[Emp ID]], Employee[], 4, FALSE)</f>
        <v>Henry Gill</v>
      </c>
      <c r="L1028" t="str">
        <f>VLOOKUP(Call_Center_Data[[#This Row],[Call Type ID]], Call_Type[], 2, FALSE)</f>
        <v>Sales</v>
      </c>
    </row>
    <row r="1029" spans="1:12" x14ac:dyDescent="0.3">
      <c r="A1029">
        <v>1028</v>
      </c>
      <c r="B1029">
        <v>2</v>
      </c>
      <c r="C1029" s="1">
        <v>45622</v>
      </c>
      <c r="D1029" s="2" t="s">
        <v>80</v>
      </c>
      <c r="E1029">
        <v>0</v>
      </c>
      <c r="F1029">
        <v>29</v>
      </c>
      <c r="G1029">
        <v>166</v>
      </c>
      <c r="H1029">
        <v>186</v>
      </c>
      <c r="I1029" t="str">
        <f>VLOOKUP(Call_Center_Data[[#This Row],[Emp ID]],Employee[],2,FALSE)</f>
        <v>Tina Simons</v>
      </c>
      <c r="J1029" t="str">
        <f>VLOOKUP(Call_Center_Data[[#This Row],[Emp ID]], Employee[], 3, FALSE)</f>
        <v>Aurora, CO</v>
      </c>
      <c r="K1029" t="str">
        <f>VLOOKUP(Call_Center_Data[[#This Row],[Emp ID]], Employee[], 4, FALSE)</f>
        <v>Pierce Gill</v>
      </c>
      <c r="L1029" t="str">
        <f>VLOOKUP(Call_Center_Data[[#This Row],[Call Type ID]], Call_Type[], 2, FALSE)</f>
        <v>Sales</v>
      </c>
    </row>
    <row r="1030" spans="1:12" x14ac:dyDescent="0.3">
      <c r="A1030">
        <v>1029</v>
      </c>
      <c r="B1030">
        <v>2</v>
      </c>
      <c r="C1030" s="1">
        <v>45623</v>
      </c>
      <c r="D1030" s="2" t="s">
        <v>72</v>
      </c>
      <c r="E1030">
        <v>1</v>
      </c>
      <c r="F1030">
        <v>36</v>
      </c>
      <c r="G1030">
        <v>175</v>
      </c>
      <c r="H1030">
        <v>237</v>
      </c>
      <c r="I1030" t="str">
        <f>VLOOKUP(Call_Center_Data[[#This Row],[Emp ID]],Employee[],2,FALSE)</f>
        <v>Ultor Pat</v>
      </c>
      <c r="J1030" t="str">
        <f>VLOOKUP(Call_Center_Data[[#This Row],[Emp ID]], Employee[], 3, FALSE)</f>
        <v>Jacksonville, WA</v>
      </c>
      <c r="K1030" t="str">
        <f>VLOOKUP(Call_Center_Data[[#This Row],[Emp ID]], Employee[], 4, FALSE)</f>
        <v>Jenny Hall</v>
      </c>
      <c r="L1030" t="str">
        <f>VLOOKUP(Call_Center_Data[[#This Row],[Call Type ID]], Call_Type[], 2, FALSE)</f>
        <v>Sales</v>
      </c>
    </row>
    <row r="1031" spans="1:12" x14ac:dyDescent="0.3">
      <c r="A1031">
        <v>1030</v>
      </c>
      <c r="B1031">
        <v>3</v>
      </c>
      <c r="C1031" s="1">
        <v>45624</v>
      </c>
      <c r="D1031" s="2" t="s">
        <v>73</v>
      </c>
      <c r="E1031">
        <v>0</v>
      </c>
      <c r="F1031">
        <v>27</v>
      </c>
      <c r="G1031">
        <v>169</v>
      </c>
      <c r="H1031">
        <v>208</v>
      </c>
      <c r="I1031" t="str">
        <f>VLOOKUP(Call_Center_Data[[#This Row],[Emp ID]],Employee[],2,FALSE)</f>
        <v>Jill John</v>
      </c>
      <c r="J1031" t="str">
        <f>VLOOKUP(Call_Center_Data[[#This Row],[Emp ID]], Employee[], 3, FALSE)</f>
        <v>Spokane, WA</v>
      </c>
      <c r="K1031" t="str">
        <f>VLOOKUP(Call_Center_Data[[#This Row],[Emp ID]], Employee[], 4, FALSE)</f>
        <v>John Gill</v>
      </c>
      <c r="L1031" t="str">
        <f>VLOOKUP(Call_Center_Data[[#This Row],[Call Type ID]], Call_Type[], 2, FALSE)</f>
        <v>Tech Sup</v>
      </c>
    </row>
    <row r="1032" spans="1:12" x14ac:dyDescent="0.3">
      <c r="A1032">
        <v>1031</v>
      </c>
      <c r="B1032">
        <v>3</v>
      </c>
      <c r="C1032" s="1">
        <v>45625</v>
      </c>
      <c r="D1032" s="2" t="s">
        <v>75</v>
      </c>
      <c r="E1032">
        <v>0</v>
      </c>
      <c r="F1032">
        <v>23</v>
      </c>
      <c r="G1032">
        <v>167</v>
      </c>
      <c r="H1032">
        <v>292</v>
      </c>
      <c r="I1032" t="str">
        <f>VLOOKUP(Call_Center_Data[[#This Row],[Emp ID]],Employee[],2,FALSE)</f>
        <v>Gina Pat</v>
      </c>
      <c r="J1032" t="str">
        <f>VLOOKUP(Call_Center_Data[[#This Row],[Emp ID]], Employee[], 3, FALSE)</f>
        <v>Spokane, WA</v>
      </c>
      <c r="K1032" t="str">
        <f>VLOOKUP(Call_Center_Data[[#This Row],[Emp ID]], Employee[], 4, FALSE)</f>
        <v>Henry Hall</v>
      </c>
      <c r="L1032" t="str">
        <f>VLOOKUP(Call_Center_Data[[#This Row],[Call Type ID]], Call_Type[], 2, FALSE)</f>
        <v>Tech Sup</v>
      </c>
    </row>
    <row r="1033" spans="1:12" x14ac:dyDescent="0.3">
      <c r="A1033">
        <v>1032</v>
      </c>
      <c r="B1033">
        <v>2</v>
      </c>
      <c r="C1033" s="1">
        <v>45626</v>
      </c>
      <c r="D1033" s="2" t="s">
        <v>69</v>
      </c>
      <c r="E1033">
        <v>0</v>
      </c>
      <c r="F1033">
        <v>22</v>
      </c>
      <c r="G1033">
        <v>154</v>
      </c>
      <c r="H1033">
        <v>488</v>
      </c>
      <c r="I1033" t="str">
        <f>VLOOKUP(Call_Center_Data[[#This Row],[Emp ID]],Employee[],2,FALSE)</f>
        <v>Sam Gilder</v>
      </c>
      <c r="J1033" t="str">
        <f>VLOOKUP(Call_Center_Data[[#This Row],[Emp ID]], Employee[], 3, FALSE)</f>
        <v>Jacksonville, WA</v>
      </c>
      <c r="K1033" t="str">
        <f>VLOOKUP(Call_Center_Data[[#This Row],[Emp ID]], Employee[], 4, FALSE)</f>
        <v>Timmy Hall</v>
      </c>
      <c r="L1033" t="str">
        <f>VLOOKUP(Call_Center_Data[[#This Row],[Call Type ID]], Call_Type[], 2, FALSE)</f>
        <v>Sales</v>
      </c>
    </row>
    <row r="1034" spans="1:12" x14ac:dyDescent="0.3">
      <c r="A1034">
        <v>1033</v>
      </c>
      <c r="B1034">
        <v>3</v>
      </c>
      <c r="C1034" s="1">
        <v>45627</v>
      </c>
      <c r="D1034" s="2" t="s">
        <v>79</v>
      </c>
      <c r="E1034">
        <v>1</v>
      </c>
      <c r="F1034">
        <v>13</v>
      </c>
      <c r="G1034">
        <v>152</v>
      </c>
      <c r="H1034">
        <v>310</v>
      </c>
      <c r="I1034" t="str">
        <f>VLOOKUP(Call_Center_Data[[#This Row],[Emp ID]],Employee[],2,FALSE)</f>
        <v>Gina Simons</v>
      </c>
      <c r="J1034" t="str">
        <f>VLOOKUP(Call_Center_Data[[#This Row],[Emp ID]], Employee[], 3, FALSE)</f>
        <v>Spokane, WA</v>
      </c>
      <c r="K1034" t="str">
        <f>VLOOKUP(Call_Center_Data[[#This Row],[Emp ID]], Employee[], 4, FALSE)</f>
        <v>John Rhodes</v>
      </c>
      <c r="L1034" t="str">
        <f>VLOOKUP(Call_Center_Data[[#This Row],[Call Type ID]], Call_Type[], 2, FALSE)</f>
        <v>Tech Sup</v>
      </c>
    </row>
    <row r="1035" spans="1:12" x14ac:dyDescent="0.3">
      <c r="A1035">
        <v>1034</v>
      </c>
      <c r="B1035">
        <v>1</v>
      </c>
      <c r="C1035" s="1">
        <v>45628</v>
      </c>
      <c r="D1035" s="2" t="s">
        <v>87</v>
      </c>
      <c r="E1035">
        <v>1</v>
      </c>
      <c r="F1035">
        <v>18</v>
      </c>
      <c r="G1035">
        <v>130</v>
      </c>
      <c r="H1035">
        <v>231</v>
      </c>
      <c r="I1035" t="str">
        <f>VLOOKUP(Call_Center_Data[[#This Row],[Emp ID]],Employee[],2,FALSE)</f>
        <v>Gina Saab</v>
      </c>
      <c r="J1035" t="str">
        <f>VLOOKUP(Call_Center_Data[[#This Row],[Emp ID]], Employee[], 3, FALSE)</f>
        <v>Jacksonville, WA</v>
      </c>
      <c r="K1035" t="str">
        <f>VLOOKUP(Call_Center_Data[[#This Row],[Emp ID]], Employee[], 4, FALSE)</f>
        <v>Jenny Gill</v>
      </c>
      <c r="L1035" t="str">
        <f>VLOOKUP(Call_Center_Data[[#This Row],[Call Type ID]], Call_Type[], 2, FALSE)</f>
        <v>Billing</v>
      </c>
    </row>
    <row r="1036" spans="1:12" x14ac:dyDescent="0.3">
      <c r="A1036">
        <v>1035</v>
      </c>
      <c r="B1036">
        <v>2</v>
      </c>
      <c r="C1036" s="1">
        <v>45629</v>
      </c>
      <c r="D1036" s="2" t="s">
        <v>80</v>
      </c>
      <c r="E1036">
        <v>0</v>
      </c>
      <c r="F1036">
        <v>26</v>
      </c>
      <c r="G1036">
        <v>198</v>
      </c>
      <c r="H1036">
        <v>188</v>
      </c>
      <c r="I1036" t="str">
        <f>VLOOKUP(Call_Center_Data[[#This Row],[Emp ID]],Employee[],2,FALSE)</f>
        <v>Tina Simons</v>
      </c>
      <c r="J1036" t="str">
        <f>VLOOKUP(Call_Center_Data[[#This Row],[Emp ID]], Employee[], 3, FALSE)</f>
        <v>Aurora, CO</v>
      </c>
      <c r="K1036" t="str">
        <f>VLOOKUP(Call_Center_Data[[#This Row],[Emp ID]], Employee[], 4, FALSE)</f>
        <v>Pierce Gill</v>
      </c>
      <c r="L1036" t="str">
        <f>VLOOKUP(Call_Center_Data[[#This Row],[Call Type ID]], Call_Type[], 2, FALSE)</f>
        <v>Sales</v>
      </c>
    </row>
    <row r="1037" spans="1:12" x14ac:dyDescent="0.3">
      <c r="A1037">
        <v>1036</v>
      </c>
      <c r="B1037">
        <v>1</v>
      </c>
      <c r="C1037" s="1">
        <v>45630</v>
      </c>
      <c r="D1037" s="2" t="s">
        <v>66</v>
      </c>
      <c r="E1037">
        <v>0</v>
      </c>
      <c r="F1037">
        <v>23</v>
      </c>
      <c r="G1037">
        <v>149</v>
      </c>
      <c r="H1037">
        <v>419</v>
      </c>
      <c r="I1037" t="str">
        <f>VLOOKUP(Call_Center_Data[[#This Row],[Emp ID]],Employee[],2,FALSE)</f>
        <v>Tina John</v>
      </c>
      <c r="J1037" t="str">
        <f>VLOOKUP(Call_Center_Data[[#This Row],[Emp ID]], Employee[], 3, FALSE)</f>
        <v>Aurora, CO</v>
      </c>
      <c r="K1037" t="str">
        <f>VLOOKUP(Call_Center_Data[[#This Row],[Emp ID]], Employee[], 4, FALSE)</f>
        <v>Timmy Rhodes</v>
      </c>
      <c r="L1037" t="str">
        <f>VLOOKUP(Call_Center_Data[[#This Row],[Call Type ID]], Call_Type[], 2, FALSE)</f>
        <v>Billing</v>
      </c>
    </row>
    <row r="1038" spans="1:12" x14ac:dyDescent="0.3">
      <c r="A1038">
        <v>1037</v>
      </c>
      <c r="B1038">
        <v>3</v>
      </c>
      <c r="C1038" s="1">
        <v>45631</v>
      </c>
      <c r="D1038" s="2" t="s">
        <v>71</v>
      </c>
      <c r="E1038">
        <v>1</v>
      </c>
      <c r="F1038">
        <v>20</v>
      </c>
      <c r="G1038">
        <v>164</v>
      </c>
      <c r="H1038">
        <v>318</v>
      </c>
      <c r="I1038" t="str">
        <f>VLOOKUP(Call_Center_Data[[#This Row],[Emp ID]],Employee[],2,FALSE)</f>
        <v>Sam Pat</v>
      </c>
      <c r="J1038" t="str">
        <f>VLOOKUP(Call_Center_Data[[#This Row],[Emp ID]], Employee[], 3, FALSE)</f>
        <v>Aurora, CO</v>
      </c>
      <c r="K1038" t="str">
        <f>VLOOKUP(Call_Center_Data[[#This Row],[Emp ID]], Employee[], 4, FALSE)</f>
        <v>Henry Mack</v>
      </c>
      <c r="L1038" t="str">
        <f>VLOOKUP(Call_Center_Data[[#This Row],[Call Type ID]], Call_Type[], 2, FALSE)</f>
        <v>Tech Sup</v>
      </c>
    </row>
    <row r="1039" spans="1:12" x14ac:dyDescent="0.3">
      <c r="A1039">
        <v>1038</v>
      </c>
      <c r="B1039">
        <v>3</v>
      </c>
      <c r="C1039" s="1">
        <v>45632</v>
      </c>
      <c r="D1039" s="2" t="s">
        <v>84</v>
      </c>
      <c r="E1039">
        <v>0</v>
      </c>
      <c r="F1039">
        <v>14</v>
      </c>
      <c r="G1039">
        <v>136</v>
      </c>
      <c r="H1039">
        <v>224</v>
      </c>
      <c r="I1039" t="str">
        <f>VLOOKUP(Call_Center_Data[[#This Row],[Emp ID]],Employee[],2,FALSE)</f>
        <v>Sam John</v>
      </c>
      <c r="J1039" t="str">
        <f>VLOOKUP(Call_Center_Data[[#This Row],[Emp ID]], Employee[], 3, FALSE)</f>
        <v>Aurora, CO</v>
      </c>
      <c r="K1039" t="str">
        <f>VLOOKUP(Call_Center_Data[[#This Row],[Emp ID]], Employee[], 4, FALSE)</f>
        <v>Jenny Mack</v>
      </c>
      <c r="L1039" t="str">
        <f>VLOOKUP(Call_Center_Data[[#This Row],[Call Type ID]], Call_Type[], 2, FALSE)</f>
        <v>Tech Sup</v>
      </c>
    </row>
    <row r="1040" spans="1:12" x14ac:dyDescent="0.3">
      <c r="A1040">
        <v>1039</v>
      </c>
      <c r="B1040">
        <v>1</v>
      </c>
      <c r="C1040" s="1">
        <v>45633</v>
      </c>
      <c r="D1040" s="2" t="s">
        <v>85</v>
      </c>
      <c r="E1040">
        <v>0</v>
      </c>
      <c r="F1040">
        <v>18</v>
      </c>
      <c r="G1040">
        <v>163</v>
      </c>
      <c r="H1040">
        <v>372</v>
      </c>
      <c r="I1040" t="str">
        <f>VLOOKUP(Call_Center_Data[[#This Row],[Emp ID]],Employee[],2,FALSE)</f>
        <v>Tina Gilder</v>
      </c>
      <c r="J1040" t="str">
        <f>VLOOKUP(Call_Center_Data[[#This Row],[Emp ID]], Employee[], 3, FALSE)</f>
        <v>Spokane, WA</v>
      </c>
      <c r="K1040" t="str">
        <f>VLOOKUP(Call_Center_Data[[#This Row],[Emp ID]], Employee[], 4, FALSE)</f>
        <v>Timmy Baas</v>
      </c>
      <c r="L1040" t="str">
        <f>VLOOKUP(Call_Center_Data[[#This Row],[Call Type ID]], Call_Type[], 2, FALSE)</f>
        <v>Billing</v>
      </c>
    </row>
    <row r="1041" spans="1:12" x14ac:dyDescent="0.3">
      <c r="A1041">
        <v>1040</v>
      </c>
      <c r="B1041">
        <v>3</v>
      </c>
      <c r="C1041" s="1">
        <v>45634</v>
      </c>
      <c r="D1041" s="2" t="s">
        <v>67</v>
      </c>
      <c r="E1041">
        <v>0</v>
      </c>
      <c r="F1041">
        <v>10</v>
      </c>
      <c r="G1041">
        <v>177</v>
      </c>
      <c r="H1041">
        <v>208</v>
      </c>
      <c r="I1041" t="str">
        <f>VLOOKUP(Call_Center_Data[[#This Row],[Emp ID]],Employee[],2,FALSE)</f>
        <v>Tina Pat</v>
      </c>
      <c r="J1041" t="str">
        <f>VLOOKUP(Call_Center_Data[[#This Row],[Emp ID]], Employee[], 3, FALSE)</f>
        <v>Jacksonville, WA</v>
      </c>
      <c r="K1041" t="str">
        <f>VLOOKUP(Call_Center_Data[[#This Row],[Emp ID]], Employee[], 4, FALSE)</f>
        <v>John Hall</v>
      </c>
      <c r="L1041" t="str">
        <f>VLOOKUP(Call_Center_Data[[#This Row],[Call Type ID]], Call_Type[], 2, FALSE)</f>
        <v>Tech Sup</v>
      </c>
    </row>
    <row r="1042" spans="1:12" x14ac:dyDescent="0.3">
      <c r="A1042">
        <v>1041</v>
      </c>
      <c r="B1042">
        <v>2</v>
      </c>
      <c r="C1042" s="1">
        <v>45635</v>
      </c>
      <c r="D1042" s="2" t="s">
        <v>69</v>
      </c>
      <c r="E1042">
        <v>1</v>
      </c>
      <c r="F1042">
        <v>46</v>
      </c>
      <c r="G1042">
        <v>127</v>
      </c>
      <c r="H1042">
        <v>155</v>
      </c>
      <c r="I1042" t="str">
        <f>VLOOKUP(Call_Center_Data[[#This Row],[Emp ID]],Employee[],2,FALSE)</f>
        <v>Sam Gilder</v>
      </c>
      <c r="J1042" t="str">
        <f>VLOOKUP(Call_Center_Data[[#This Row],[Emp ID]], Employee[], 3, FALSE)</f>
        <v>Jacksonville, WA</v>
      </c>
      <c r="K1042" t="str">
        <f>VLOOKUP(Call_Center_Data[[#This Row],[Emp ID]], Employee[], 4, FALSE)</f>
        <v>Timmy Hall</v>
      </c>
      <c r="L1042" t="str">
        <f>VLOOKUP(Call_Center_Data[[#This Row],[Call Type ID]], Call_Type[], 2, FALSE)</f>
        <v>Sales</v>
      </c>
    </row>
    <row r="1043" spans="1:12" x14ac:dyDescent="0.3">
      <c r="A1043">
        <v>1042</v>
      </c>
      <c r="B1043">
        <v>1</v>
      </c>
      <c r="C1043" s="1">
        <v>45636</v>
      </c>
      <c r="D1043" s="2" t="s">
        <v>85</v>
      </c>
      <c r="E1043">
        <v>1</v>
      </c>
      <c r="F1043">
        <v>23</v>
      </c>
      <c r="G1043">
        <v>148</v>
      </c>
      <c r="H1043">
        <v>172</v>
      </c>
      <c r="I1043" t="str">
        <f>VLOOKUP(Call_Center_Data[[#This Row],[Emp ID]],Employee[],2,FALSE)</f>
        <v>Tina Gilder</v>
      </c>
      <c r="J1043" t="str">
        <f>VLOOKUP(Call_Center_Data[[#This Row],[Emp ID]], Employee[], 3, FALSE)</f>
        <v>Spokane, WA</v>
      </c>
      <c r="K1043" t="str">
        <f>VLOOKUP(Call_Center_Data[[#This Row],[Emp ID]], Employee[], 4, FALSE)</f>
        <v>Timmy Baas</v>
      </c>
      <c r="L1043" t="str">
        <f>VLOOKUP(Call_Center_Data[[#This Row],[Call Type ID]], Call_Type[], 2, FALSE)</f>
        <v>Billing</v>
      </c>
    </row>
    <row r="1044" spans="1:12" x14ac:dyDescent="0.3">
      <c r="A1044">
        <v>1043</v>
      </c>
      <c r="B1044">
        <v>1</v>
      </c>
      <c r="C1044" s="1">
        <v>45637</v>
      </c>
      <c r="D1044" s="2" t="s">
        <v>81</v>
      </c>
      <c r="E1044">
        <v>0</v>
      </c>
      <c r="F1044">
        <v>15</v>
      </c>
      <c r="G1044">
        <v>166</v>
      </c>
      <c r="H1044">
        <v>181</v>
      </c>
      <c r="I1044" t="str">
        <f>VLOOKUP(Call_Center_Data[[#This Row],[Emp ID]],Employee[],2,FALSE)</f>
        <v>Sam Simons</v>
      </c>
      <c r="J1044" t="str">
        <f>VLOOKUP(Call_Center_Data[[#This Row],[Emp ID]], Employee[], 3, FALSE)</f>
        <v>Jacksonville, WA</v>
      </c>
      <c r="K1044" t="str">
        <f>VLOOKUP(Call_Center_Data[[#This Row],[Emp ID]], Employee[], 4, FALSE)</f>
        <v>John Baas</v>
      </c>
      <c r="L1044" t="str">
        <f>VLOOKUP(Call_Center_Data[[#This Row],[Call Type ID]], Call_Type[], 2, FALSE)</f>
        <v>Billing</v>
      </c>
    </row>
    <row r="1045" spans="1:12" x14ac:dyDescent="0.3">
      <c r="A1045">
        <v>1044</v>
      </c>
      <c r="B1045">
        <v>2</v>
      </c>
      <c r="C1045" s="1">
        <v>45638</v>
      </c>
      <c r="D1045" s="2" t="s">
        <v>73</v>
      </c>
      <c r="E1045">
        <v>0</v>
      </c>
      <c r="F1045">
        <v>22</v>
      </c>
      <c r="G1045">
        <v>162</v>
      </c>
      <c r="H1045">
        <v>324</v>
      </c>
      <c r="I1045" t="str">
        <f>VLOOKUP(Call_Center_Data[[#This Row],[Emp ID]],Employee[],2,FALSE)</f>
        <v>Jill John</v>
      </c>
      <c r="J1045" t="str">
        <f>VLOOKUP(Call_Center_Data[[#This Row],[Emp ID]], Employee[], 3, FALSE)</f>
        <v>Spokane, WA</v>
      </c>
      <c r="K1045" t="str">
        <f>VLOOKUP(Call_Center_Data[[#This Row],[Emp ID]], Employee[], 4, FALSE)</f>
        <v>John Gill</v>
      </c>
      <c r="L1045" t="str">
        <f>VLOOKUP(Call_Center_Data[[#This Row],[Call Type ID]], Call_Type[], 2, FALSE)</f>
        <v>Sales</v>
      </c>
    </row>
    <row r="1046" spans="1:12" x14ac:dyDescent="0.3">
      <c r="A1046">
        <v>1045</v>
      </c>
      <c r="B1046">
        <v>3</v>
      </c>
      <c r="C1046" s="1">
        <v>45639</v>
      </c>
      <c r="D1046" s="2" t="s">
        <v>85</v>
      </c>
      <c r="E1046">
        <v>1</v>
      </c>
      <c r="F1046">
        <v>21</v>
      </c>
      <c r="G1046">
        <v>180</v>
      </c>
      <c r="H1046">
        <v>287</v>
      </c>
      <c r="I1046" t="str">
        <f>VLOOKUP(Call_Center_Data[[#This Row],[Emp ID]],Employee[],2,FALSE)</f>
        <v>Tina Gilder</v>
      </c>
      <c r="J1046" t="str">
        <f>VLOOKUP(Call_Center_Data[[#This Row],[Emp ID]], Employee[], 3, FALSE)</f>
        <v>Spokane, WA</v>
      </c>
      <c r="K1046" t="str">
        <f>VLOOKUP(Call_Center_Data[[#This Row],[Emp ID]], Employee[], 4, FALSE)</f>
        <v>Timmy Baas</v>
      </c>
      <c r="L1046" t="str">
        <f>VLOOKUP(Call_Center_Data[[#This Row],[Call Type ID]], Call_Type[], 2, FALSE)</f>
        <v>Tech Sup</v>
      </c>
    </row>
    <row r="1047" spans="1:12" x14ac:dyDescent="0.3">
      <c r="A1047">
        <v>1046</v>
      </c>
      <c r="B1047">
        <v>1</v>
      </c>
      <c r="C1047" s="1">
        <v>45640</v>
      </c>
      <c r="D1047" s="2" t="s">
        <v>66</v>
      </c>
      <c r="E1047">
        <v>0</v>
      </c>
      <c r="F1047">
        <v>10</v>
      </c>
      <c r="G1047">
        <v>120</v>
      </c>
      <c r="H1047">
        <v>123</v>
      </c>
      <c r="I1047" t="str">
        <f>VLOOKUP(Call_Center_Data[[#This Row],[Emp ID]],Employee[],2,FALSE)</f>
        <v>Tina John</v>
      </c>
      <c r="J1047" t="str">
        <f>VLOOKUP(Call_Center_Data[[#This Row],[Emp ID]], Employee[], 3, FALSE)</f>
        <v>Aurora, CO</v>
      </c>
      <c r="K1047" t="str">
        <f>VLOOKUP(Call_Center_Data[[#This Row],[Emp ID]], Employee[], 4, FALSE)</f>
        <v>Timmy Rhodes</v>
      </c>
      <c r="L1047" t="str">
        <f>VLOOKUP(Call_Center_Data[[#This Row],[Call Type ID]], Call_Type[], 2, FALSE)</f>
        <v>Billing</v>
      </c>
    </row>
    <row r="1048" spans="1:12" x14ac:dyDescent="0.3">
      <c r="A1048">
        <v>1047</v>
      </c>
      <c r="B1048">
        <v>2</v>
      </c>
      <c r="C1048" s="1">
        <v>45641</v>
      </c>
      <c r="D1048" s="2" t="s">
        <v>84</v>
      </c>
      <c r="E1048">
        <v>1</v>
      </c>
      <c r="F1048">
        <v>20</v>
      </c>
      <c r="G1048">
        <v>161</v>
      </c>
      <c r="H1048">
        <v>216</v>
      </c>
      <c r="I1048" t="str">
        <f>VLOOKUP(Call_Center_Data[[#This Row],[Emp ID]],Employee[],2,FALSE)</f>
        <v>Sam John</v>
      </c>
      <c r="J1048" t="str">
        <f>VLOOKUP(Call_Center_Data[[#This Row],[Emp ID]], Employee[], 3, FALSE)</f>
        <v>Aurora, CO</v>
      </c>
      <c r="K1048" t="str">
        <f>VLOOKUP(Call_Center_Data[[#This Row],[Emp ID]], Employee[], 4, FALSE)</f>
        <v>Jenny Mack</v>
      </c>
      <c r="L1048" t="str">
        <f>VLOOKUP(Call_Center_Data[[#This Row],[Call Type ID]], Call_Type[], 2, FALSE)</f>
        <v>Sales</v>
      </c>
    </row>
    <row r="1049" spans="1:12" x14ac:dyDescent="0.3">
      <c r="A1049">
        <v>1048</v>
      </c>
      <c r="B1049">
        <v>2</v>
      </c>
      <c r="C1049" s="1">
        <v>45642</v>
      </c>
      <c r="D1049" s="2" t="s">
        <v>79</v>
      </c>
      <c r="E1049">
        <v>1</v>
      </c>
      <c r="F1049">
        <v>34</v>
      </c>
      <c r="G1049">
        <v>143</v>
      </c>
      <c r="H1049">
        <v>378</v>
      </c>
      <c r="I1049" t="str">
        <f>VLOOKUP(Call_Center_Data[[#This Row],[Emp ID]],Employee[],2,FALSE)</f>
        <v>Gina Simons</v>
      </c>
      <c r="J1049" t="str">
        <f>VLOOKUP(Call_Center_Data[[#This Row],[Emp ID]], Employee[], 3, FALSE)</f>
        <v>Spokane, WA</v>
      </c>
      <c r="K1049" t="str">
        <f>VLOOKUP(Call_Center_Data[[#This Row],[Emp ID]], Employee[], 4, FALSE)</f>
        <v>John Rhodes</v>
      </c>
      <c r="L1049" t="str">
        <f>VLOOKUP(Call_Center_Data[[#This Row],[Call Type ID]], Call_Type[], 2, FALSE)</f>
        <v>Sales</v>
      </c>
    </row>
    <row r="1050" spans="1:12" x14ac:dyDescent="0.3">
      <c r="A1050">
        <v>1049</v>
      </c>
      <c r="B1050">
        <v>1</v>
      </c>
      <c r="C1050" s="1">
        <v>45643</v>
      </c>
      <c r="D1050" s="2" t="s">
        <v>65</v>
      </c>
      <c r="E1050">
        <v>1</v>
      </c>
      <c r="F1050">
        <v>35</v>
      </c>
      <c r="G1050">
        <v>176</v>
      </c>
      <c r="H1050">
        <v>195</v>
      </c>
      <c r="I1050" t="str">
        <f>VLOOKUP(Call_Center_Data[[#This Row],[Emp ID]],Employee[],2,FALSE)</f>
        <v>Ultor John</v>
      </c>
      <c r="J1050" t="str">
        <f>VLOOKUP(Call_Center_Data[[#This Row],[Emp ID]], Employee[], 3, FALSE)</f>
        <v>Spokane, WA</v>
      </c>
      <c r="K1050" t="str">
        <f>VLOOKUP(Call_Center_Data[[#This Row],[Emp ID]], Employee[], 4, FALSE)</f>
        <v>John Mack</v>
      </c>
      <c r="L1050" t="str">
        <f>VLOOKUP(Call_Center_Data[[#This Row],[Call Type ID]], Call_Type[], 2, FALSE)</f>
        <v>Billing</v>
      </c>
    </row>
    <row r="1051" spans="1:12" x14ac:dyDescent="0.3">
      <c r="A1051">
        <v>1050</v>
      </c>
      <c r="B1051">
        <v>3</v>
      </c>
      <c r="C1051" s="1">
        <v>45644</v>
      </c>
      <c r="D1051" s="2" t="s">
        <v>85</v>
      </c>
      <c r="E1051">
        <v>0</v>
      </c>
      <c r="F1051">
        <v>28</v>
      </c>
      <c r="G1051">
        <v>167</v>
      </c>
      <c r="H1051">
        <v>228</v>
      </c>
      <c r="I1051" t="str">
        <f>VLOOKUP(Call_Center_Data[[#This Row],[Emp ID]],Employee[],2,FALSE)</f>
        <v>Tina Gilder</v>
      </c>
      <c r="J1051" t="str">
        <f>VLOOKUP(Call_Center_Data[[#This Row],[Emp ID]], Employee[], 3, FALSE)</f>
        <v>Spokane, WA</v>
      </c>
      <c r="K1051" t="str">
        <f>VLOOKUP(Call_Center_Data[[#This Row],[Emp ID]], Employee[], 4, FALSE)</f>
        <v>Timmy Baas</v>
      </c>
      <c r="L1051" t="str">
        <f>VLOOKUP(Call_Center_Data[[#This Row],[Call Type ID]], Call_Type[], 2, FALSE)</f>
        <v>Tech Sup</v>
      </c>
    </row>
    <row r="1052" spans="1:12" x14ac:dyDescent="0.3">
      <c r="A1052">
        <v>1051</v>
      </c>
      <c r="B1052">
        <v>1</v>
      </c>
      <c r="C1052" s="1">
        <v>45645</v>
      </c>
      <c r="D1052" s="2" t="s">
        <v>82</v>
      </c>
      <c r="E1052">
        <v>0</v>
      </c>
      <c r="F1052">
        <v>11</v>
      </c>
      <c r="G1052">
        <v>171</v>
      </c>
      <c r="H1052">
        <v>123</v>
      </c>
      <c r="I1052" t="str">
        <f>VLOOKUP(Call_Center_Data[[#This Row],[Emp ID]],Employee[],2,FALSE)</f>
        <v>Ultor Gilder</v>
      </c>
      <c r="J1052" t="str">
        <f>VLOOKUP(Call_Center_Data[[#This Row],[Emp ID]], Employee[], 3, FALSE)</f>
        <v>Aurora, CO</v>
      </c>
      <c r="K1052" t="str">
        <f>VLOOKUP(Call_Center_Data[[#This Row],[Emp ID]], Employee[], 4, FALSE)</f>
        <v>Pierce Mack</v>
      </c>
      <c r="L1052" t="str">
        <f>VLOOKUP(Call_Center_Data[[#This Row],[Call Type ID]], Call_Type[], 2, FALSE)</f>
        <v>Billing</v>
      </c>
    </row>
    <row r="1053" spans="1:12" x14ac:dyDescent="0.3">
      <c r="A1053">
        <v>1052</v>
      </c>
      <c r="B1053">
        <v>3</v>
      </c>
      <c r="C1053" s="1">
        <v>45646</v>
      </c>
      <c r="D1053" s="2" t="s">
        <v>85</v>
      </c>
      <c r="E1053">
        <v>0</v>
      </c>
      <c r="F1053">
        <v>19</v>
      </c>
      <c r="G1053">
        <v>164</v>
      </c>
      <c r="H1053">
        <v>499</v>
      </c>
      <c r="I1053" t="str">
        <f>VLOOKUP(Call_Center_Data[[#This Row],[Emp ID]],Employee[],2,FALSE)</f>
        <v>Tina Gilder</v>
      </c>
      <c r="J1053" t="str">
        <f>VLOOKUP(Call_Center_Data[[#This Row],[Emp ID]], Employee[], 3, FALSE)</f>
        <v>Spokane, WA</v>
      </c>
      <c r="K1053" t="str">
        <f>VLOOKUP(Call_Center_Data[[#This Row],[Emp ID]], Employee[], 4, FALSE)</f>
        <v>Timmy Baas</v>
      </c>
      <c r="L1053" t="str">
        <f>VLOOKUP(Call_Center_Data[[#This Row],[Call Type ID]], Call_Type[], 2, FALSE)</f>
        <v>Tech Sup</v>
      </c>
    </row>
    <row r="1054" spans="1:12" x14ac:dyDescent="0.3">
      <c r="A1054">
        <v>1053</v>
      </c>
      <c r="B1054">
        <v>3</v>
      </c>
      <c r="C1054" s="1">
        <v>45647</v>
      </c>
      <c r="D1054" s="2" t="s">
        <v>81</v>
      </c>
      <c r="E1054">
        <v>1</v>
      </c>
      <c r="F1054">
        <v>19</v>
      </c>
      <c r="G1054">
        <v>155</v>
      </c>
      <c r="H1054">
        <v>436</v>
      </c>
      <c r="I1054" t="str">
        <f>VLOOKUP(Call_Center_Data[[#This Row],[Emp ID]],Employee[],2,FALSE)</f>
        <v>Sam Simons</v>
      </c>
      <c r="J1054" t="str">
        <f>VLOOKUP(Call_Center_Data[[#This Row],[Emp ID]], Employee[], 3, FALSE)</f>
        <v>Jacksonville, WA</v>
      </c>
      <c r="K1054" t="str">
        <f>VLOOKUP(Call_Center_Data[[#This Row],[Emp ID]], Employee[], 4, FALSE)</f>
        <v>John Baas</v>
      </c>
      <c r="L1054" t="str">
        <f>VLOOKUP(Call_Center_Data[[#This Row],[Call Type ID]], Call_Type[], 2, FALSE)</f>
        <v>Tech Sup</v>
      </c>
    </row>
    <row r="1055" spans="1:12" x14ac:dyDescent="0.3">
      <c r="A1055">
        <v>1054</v>
      </c>
      <c r="B1055">
        <v>2</v>
      </c>
      <c r="C1055" s="1">
        <v>45648</v>
      </c>
      <c r="D1055" s="2" t="s">
        <v>79</v>
      </c>
      <c r="E1055">
        <v>1</v>
      </c>
      <c r="F1055">
        <v>9</v>
      </c>
      <c r="G1055">
        <v>165</v>
      </c>
      <c r="H1055">
        <v>65</v>
      </c>
      <c r="I1055" t="str">
        <f>VLOOKUP(Call_Center_Data[[#This Row],[Emp ID]],Employee[],2,FALSE)</f>
        <v>Gina Simons</v>
      </c>
      <c r="J1055" t="str">
        <f>VLOOKUP(Call_Center_Data[[#This Row],[Emp ID]], Employee[], 3, FALSE)</f>
        <v>Spokane, WA</v>
      </c>
      <c r="K1055" t="str">
        <f>VLOOKUP(Call_Center_Data[[#This Row],[Emp ID]], Employee[], 4, FALSE)</f>
        <v>John Rhodes</v>
      </c>
      <c r="L1055" t="str">
        <f>VLOOKUP(Call_Center_Data[[#This Row],[Call Type ID]], Call_Type[], 2, FALSE)</f>
        <v>Sales</v>
      </c>
    </row>
    <row r="1056" spans="1:12" x14ac:dyDescent="0.3">
      <c r="A1056">
        <v>1055</v>
      </c>
      <c r="B1056">
        <v>3</v>
      </c>
      <c r="C1056" s="1">
        <v>45649</v>
      </c>
      <c r="D1056" s="2" t="s">
        <v>74</v>
      </c>
      <c r="E1056">
        <v>0</v>
      </c>
      <c r="F1056">
        <v>27</v>
      </c>
      <c r="G1056">
        <v>148</v>
      </c>
      <c r="H1056">
        <v>124</v>
      </c>
      <c r="I1056" t="str">
        <f>VLOOKUP(Call_Center_Data[[#This Row],[Emp ID]],Employee[],2,FALSE)</f>
        <v>Gina John</v>
      </c>
      <c r="J1056" t="str">
        <f>VLOOKUP(Call_Center_Data[[#This Row],[Emp ID]], Employee[], 3, FALSE)</f>
        <v>Jacksonville, WA</v>
      </c>
      <c r="K1056" t="str">
        <f>VLOOKUP(Call_Center_Data[[#This Row],[Emp ID]], Employee[], 4, FALSE)</f>
        <v>Henry Gill</v>
      </c>
      <c r="L1056" t="str">
        <f>VLOOKUP(Call_Center_Data[[#This Row],[Call Type ID]], Call_Type[], 2, FALSE)</f>
        <v>Tech Sup</v>
      </c>
    </row>
    <row r="1057" spans="1:12" x14ac:dyDescent="0.3">
      <c r="A1057">
        <v>1056</v>
      </c>
      <c r="B1057">
        <v>2</v>
      </c>
      <c r="C1057" s="1">
        <v>45650</v>
      </c>
      <c r="D1057" s="2" t="s">
        <v>72</v>
      </c>
      <c r="E1057">
        <v>0</v>
      </c>
      <c r="F1057">
        <v>12</v>
      </c>
      <c r="G1057">
        <v>168</v>
      </c>
      <c r="H1057">
        <v>131</v>
      </c>
      <c r="I1057" t="str">
        <f>VLOOKUP(Call_Center_Data[[#This Row],[Emp ID]],Employee[],2,FALSE)</f>
        <v>Ultor Pat</v>
      </c>
      <c r="J1057" t="str">
        <f>VLOOKUP(Call_Center_Data[[#This Row],[Emp ID]], Employee[], 3, FALSE)</f>
        <v>Jacksonville, WA</v>
      </c>
      <c r="K1057" t="str">
        <f>VLOOKUP(Call_Center_Data[[#This Row],[Emp ID]], Employee[], 4, FALSE)</f>
        <v>Jenny Hall</v>
      </c>
      <c r="L1057" t="str">
        <f>VLOOKUP(Call_Center_Data[[#This Row],[Call Type ID]], Call_Type[], 2, FALSE)</f>
        <v>Sales</v>
      </c>
    </row>
    <row r="1058" spans="1:12" x14ac:dyDescent="0.3">
      <c r="A1058">
        <v>1057</v>
      </c>
      <c r="B1058">
        <v>2</v>
      </c>
      <c r="C1058" s="1">
        <v>45651</v>
      </c>
      <c r="D1058" s="2" t="s">
        <v>82</v>
      </c>
      <c r="E1058">
        <v>0</v>
      </c>
      <c r="F1058">
        <v>21</v>
      </c>
      <c r="G1058">
        <v>168</v>
      </c>
      <c r="H1058">
        <v>127</v>
      </c>
      <c r="I1058" t="str">
        <f>VLOOKUP(Call_Center_Data[[#This Row],[Emp ID]],Employee[],2,FALSE)</f>
        <v>Ultor Gilder</v>
      </c>
      <c r="J1058" t="str">
        <f>VLOOKUP(Call_Center_Data[[#This Row],[Emp ID]], Employee[], 3, FALSE)</f>
        <v>Aurora, CO</v>
      </c>
      <c r="K1058" t="str">
        <f>VLOOKUP(Call_Center_Data[[#This Row],[Emp ID]], Employee[], 4, FALSE)</f>
        <v>Pierce Mack</v>
      </c>
      <c r="L1058" t="str">
        <f>VLOOKUP(Call_Center_Data[[#This Row],[Call Type ID]], Call_Type[], 2, FALSE)</f>
        <v>Sales</v>
      </c>
    </row>
    <row r="1059" spans="1:12" x14ac:dyDescent="0.3">
      <c r="A1059">
        <v>1058</v>
      </c>
      <c r="B1059">
        <v>3</v>
      </c>
      <c r="C1059" s="1">
        <v>45652</v>
      </c>
      <c r="D1059" s="2" t="s">
        <v>79</v>
      </c>
      <c r="E1059">
        <v>0</v>
      </c>
      <c r="F1059">
        <v>17</v>
      </c>
      <c r="G1059">
        <v>147</v>
      </c>
      <c r="H1059">
        <v>248</v>
      </c>
      <c r="I1059" t="str">
        <f>VLOOKUP(Call_Center_Data[[#This Row],[Emp ID]],Employee[],2,FALSE)</f>
        <v>Gina Simons</v>
      </c>
      <c r="J1059" t="str">
        <f>VLOOKUP(Call_Center_Data[[#This Row],[Emp ID]], Employee[], 3, FALSE)</f>
        <v>Spokane, WA</v>
      </c>
      <c r="K1059" t="str">
        <f>VLOOKUP(Call_Center_Data[[#This Row],[Emp ID]], Employee[], 4, FALSE)</f>
        <v>John Rhodes</v>
      </c>
      <c r="L1059" t="str">
        <f>VLOOKUP(Call_Center_Data[[#This Row],[Call Type ID]], Call_Type[], 2, FALSE)</f>
        <v>Tech Sup</v>
      </c>
    </row>
    <row r="1060" spans="1:12" x14ac:dyDescent="0.3">
      <c r="A1060">
        <v>1059</v>
      </c>
      <c r="B1060">
        <v>1</v>
      </c>
      <c r="C1060" s="1">
        <v>45653</v>
      </c>
      <c r="D1060" s="2" t="s">
        <v>80</v>
      </c>
      <c r="E1060">
        <v>1</v>
      </c>
      <c r="F1060">
        <v>38</v>
      </c>
      <c r="G1060">
        <v>159</v>
      </c>
      <c r="H1060">
        <v>248</v>
      </c>
      <c r="I1060" t="str">
        <f>VLOOKUP(Call_Center_Data[[#This Row],[Emp ID]],Employee[],2,FALSE)</f>
        <v>Tina Simons</v>
      </c>
      <c r="J1060" t="str">
        <f>VLOOKUP(Call_Center_Data[[#This Row],[Emp ID]], Employee[], 3, FALSE)</f>
        <v>Aurora, CO</v>
      </c>
      <c r="K1060" t="str">
        <f>VLOOKUP(Call_Center_Data[[#This Row],[Emp ID]], Employee[], 4, FALSE)</f>
        <v>Pierce Gill</v>
      </c>
      <c r="L1060" t="str">
        <f>VLOOKUP(Call_Center_Data[[#This Row],[Call Type ID]], Call_Type[], 2, FALSE)</f>
        <v>Billing</v>
      </c>
    </row>
    <row r="1061" spans="1:12" x14ac:dyDescent="0.3">
      <c r="A1061">
        <v>1060</v>
      </c>
      <c r="B1061">
        <v>3</v>
      </c>
      <c r="C1061" s="1">
        <v>45654</v>
      </c>
      <c r="D1061" s="2" t="s">
        <v>77</v>
      </c>
      <c r="E1061">
        <v>1</v>
      </c>
      <c r="F1061">
        <v>33</v>
      </c>
      <c r="G1061">
        <v>174</v>
      </c>
      <c r="H1061">
        <v>298</v>
      </c>
      <c r="I1061" t="str">
        <f>VLOOKUP(Call_Center_Data[[#This Row],[Emp ID]],Employee[],2,FALSE)</f>
        <v>Sam Saab</v>
      </c>
      <c r="J1061" t="str">
        <f>VLOOKUP(Call_Center_Data[[#This Row],[Emp ID]], Employee[], 3, FALSE)</f>
        <v>Aurora, CO</v>
      </c>
      <c r="K1061" t="str">
        <f>VLOOKUP(Call_Center_Data[[#This Row],[Emp ID]], Employee[], 4, FALSE)</f>
        <v>Timmy Mack</v>
      </c>
      <c r="L1061" t="str">
        <f>VLOOKUP(Call_Center_Data[[#This Row],[Call Type ID]], Call_Type[], 2, FALSE)</f>
        <v>Tech Sup</v>
      </c>
    </row>
    <row r="1062" spans="1:12" x14ac:dyDescent="0.3">
      <c r="A1062">
        <v>1061</v>
      </c>
      <c r="B1062">
        <v>1</v>
      </c>
      <c r="C1062" s="1">
        <v>45655</v>
      </c>
      <c r="D1062" s="2" t="s">
        <v>85</v>
      </c>
      <c r="E1062">
        <v>1</v>
      </c>
      <c r="F1062">
        <v>25</v>
      </c>
      <c r="G1062">
        <v>152</v>
      </c>
      <c r="H1062">
        <v>142</v>
      </c>
      <c r="I1062" t="str">
        <f>VLOOKUP(Call_Center_Data[[#This Row],[Emp ID]],Employee[],2,FALSE)</f>
        <v>Tina Gilder</v>
      </c>
      <c r="J1062" t="str">
        <f>VLOOKUP(Call_Center_Data[[#This Row],[Emp ID]], Employee[], 3, FALSE)</f>
        <v>Spokane, WA</v>
      </c>
      <c r="K1062" t="str">
        <f>VLOOKUP(Call_Center_Data[[#This Row],[Emp ID]], Employee[], 4, FALSE)</f>
        <v>Timmy Baas</v>
      </c>
      <c r="L1062" t="str">
        <f>VLOOKUP(Call_Center_Data[[#This Row],[Call Type ID]], Call_Type[], 2, FALSE)</f>
        <v>Billing</v>
      </c>
    </row>
    <row r="1063" spans="1:12" x14ac:dyDescent="0.3">
      <c r="A1063">
        <v>1062</v>
      </c>
      <c r="B1063">
        <v>1</v>
      </c>
      <c r="C1063" s="1">
        <v>45656</v>
      </c>
      <c r="D1063" s="2" t="s">
        <v>87</v>
      </c>
      <c r="E1063">
        <v>1</v>
      </c>
      <c r="F1063">
        <v>44</v>
      </c>
      <c r="G1063">
        <v>211</v>
      </c>
      <c r="H1063">
        <v>277</v>
      </c>
      <c r="I1063" t="str">
        <f>VLOOKUP(Call_Center_Data[[#This Row],[Emp ID]],Employee[],2,FALSE)</f>
        <v>Gina Saab</v>
      </c>
      <c r="J1063" t="str">
        <f>VLOOKUP(Call_Center_Data[[#This Row],[Emp ID]], Employee[], 3, FALSE)</f>
        <v>Jacksonville, WA</v>
      </c>
      <c r="K1063" t="str">
        <f>VLOOKUP(Call_Center_Data[[#This Row],[Emp ID]], Employee[], 4, FALSE)</f>
        <v>Jenny Gill</v>
      </c>
      <c r="L1063" t="str">
        <f>VLOOKUP(Call_Center_Data[[#This Row],[Call Type ID]], Call_Type[], 2, FALSE)</f>
        <v>Billing</v>
      </c>
    </row>
    <row r="1064" spans="1:12" x14ac:dyDescent="0.3">
      <c r="A1064">
        <v>1063</v>
      </c>
      <c r="B1064">
        <v>3</v>
      </c>
      <c r="C1064" s="1">
        <v>45657</v>
      </c>
      <c r="D1064" s="2" t="s">
        <v>84</v>
      </c>
      <c r="E1064">
        <v>1</v>
      </c>
      <c r="F1064">
        <v>16</v>
      </c>
      <c r="G1064">
        <v>155</v>
      </c>
      <c r="H1064">
        <v>374</v>
      </c>
      <c r="I1064" t="str">
        <f>VLOOKUP(Call_Center_Data[[#This Row],[Emp ID]],Employee[],2,FALSE)</f>
        <v>Sam John</v>
      </c>
      <c r="J1064" t="str">
        <f>VLOOKUP(Call_Center_Data[[#This Row],[Emp ID]], Employee[], 3, FALSE)</f>
        <v>Aurora, CO</v>
      </c>
      <c r="K1064" t="str">
        <f>VLOOKUP(Call_Center_Data[[#This Row],[Emp ID]], Employee[], 4, FALSE)</f>
        <v>Jenny Mack</v>
      </c>
      <c r="L1064" t="str">
        <f>VLOOKUP(Call_Center_Data[[#This Row],[Call Type ID]], Call_Type[], 2, FALSE)</f>
        <v>Tech Sup</v>
      </c>
    </row>
    <row r="1065" spans="1:12" x14ac:dyDescent="0.3">
      <c r="A1065">
        <v>1064</v>
      </c>
      <c r="B1065">
        <v>1</v>
      </c>
      <c r="C1065" s="1">
        <v>45658</v>
      </c>
      <c r="D1065" s="2" t="s">
        <v>71</v>
      </c>
      <c r="E1065">
        <v>0</v>
      </c>
      <c r="F1065">
        <v>9</v>
      </c>
      <c r="G1065">
        <v>171</v>
      </c>
      <c r="H1065">
        <v>121</v>
      </c>
      <c r="I1065" t="str">
        <f>VLOOKUP(Call_Center_Data[[#This Row],[Emp ID]],Employee[],2,FALSE)</f>
        <v>Sam Pat</v>
      </c>
      <c r="J1065" t="str">
        <f>VLOOKUP(Call_Center_Data[[#This Row],[Emp ID]], Employee[], 3, FALSE)</f>
        <v>Aurora, CO</v>
      </c>
      <c r="K1065" t="str">
        <f>VLOOKUP(Call_Center_Data[[#This Row],[Emp ID]], Employee[], 4, FALSE)</f>
        <v>Henry Mack</v>
      </c>
      <c r="L1065" t="str">
        <f>VLOOKUP(Call_Center_Data[[#This Row],[Call Type ID]], Call_Type[], 2, FALSE)</f>
        <v>Billing</v>
      </c>
    </row>
    <row r="1066" spans="1:12" x14ac:dyDescent="0.3">
      <c r="A1066">
        <v>1065</v>
      </c>
      <c r="B1066">
        <v>3</v>
      </c>
      <c r="C1066" s="1">
        <v>45659</v>
      </c>
      <c r="D1066" s="2" t="s">
        <v>74</v>
      </c>
      <c r="E1066">
        <v>0</v>
      </c>
      <c r="F1066">
        <v>24</v>
      </c>
      <c r="G1066">
        <v>160</v>
      </c>
      <c r="H1066">
        <v>114</v>
      </c>
      <c r="I1066" t="str">
        <f>VLOOKUP(Call_Center_Data[[#This Row],[Emp ID]],Employee[],2,FALSE)</f>
        <v>Gina John</v>
      </c>
      <c r="J1066" t="str">
        <f>VLOOKUP(Call_Center_Data[[#This Row],[Emp ID]], Employee[], 3, FALSE)</f>
        <v>Jacksonville, WA</v>
      </c>
      <c r="K1066" t="str">
        <f>VLOOKUP(Call_Center_Data[[#This Row],[Emp ID]], Employee[], 4, FALSE)</f>
        <v>Henry Gill</v>
      </c>
      <c r="L1066" t="str">
        <f>VLOOKUP(Call_Center_Data[[#This Row],[Call Type ID]], Call_Type[], 2, FALSE)</f>
        <v>Tech Sup</v>
      </c>
    </row>
    <row r="1067" spans="1:12" x14ac:dyDescent="0.3">
      <c r="A1067">
        <v>1066</v>
      </c>
      <c r="B1067">
        <v>3</v>
      </c>
      <c r="C1067" s="1">
        <v>45660</v>
      </c>
      <c r="D1067" s="2" t="s">
        <v>77</v>
      </c>
      <c r="E1067">
        <v>1</v>
      </c>
      <c r="F1067">
        <v>27</v>
      </c>
      <c r="G1067">
        <v>159</v>
      </c>
      <c r="H1067">
        <v>123</v>
      </c>
      <c r="I1067" t="str">
        <f>VLOOKUP(Call_Center_Data[[#This Row],[Emp ID]],Employee[],2,FALSE)</f>
        <v>Sam Saab</v>
      </c>
      <c r="J1067" t="str">
        <f>VLOOKUP(Call_Center_Data[[#This Row],[Emp ID]], Employee[], 3, FALSE)</f>
        <v>Aurora, CO</v>
      </c>
      <c r="K1067" t="str">
        <f>VLOOKUP(Call_Center_Data[[#This Row],[Emp ID]], Employee[], 4, FALSE)</f>
        <v>Timmy Mack</v>
      </c>
      <c r="L1067" t="str">
        <f>VLOOKUP(Call_Center_Data[[#This Row],[Call Type ID]], Call_Type[], 2, FALSE)</f>
        <v>Tech Sup</v>
      </c>
    </row>
    <row r="1068" spans="1:12" x14ac:dyDescent="0.3">
      <c r="A1068">
        <v>1067</v>
      </c>
      <c r="B1068">
        <v>2</v>
      </c>
      <c r="C1068" s="1">
        <v>45661</v>
      </c>
      <c r="D1068" s="2" t="s">
        <v>80</v>
      </c>
      <c r="E1068">
        <v>0</v>
      </c>
      <c r="F1068">
        <v>24</v>
      </c>
      <c r="G1068">
        <v>177</v>
      </c>
      <c r="H1068">
        <v>174</v>
      </c>
      <c r="I1068" t="str">
        <f>VLOOKUP(Call_Center_Data[[#This Row],[Emp ID]],Employee[],2,FALSE)</f>
        <v>Tina Simons</v>
      </c>
      <c r="J1068" t="str">
        <f>VLOOKUP(Call_Center_Data[[#This Row],[Emp ID]], Employee[], 3, FALSE)</f>
        <v>Aurora, CO</v>
      </c>
      <c r="K1068" t="str">
        <f>VLOOKUP(Call_Center_Data[[#This Row],[Emp ID]], Employee[], 4, FALSE)</f>
        <v>Pierce Gill</v>
      </c>
      <c r="L1068" t="str">
        <f>VLOOKUP(Call_Center_Data[[#This Row],[Call Type ID]], Call_Type[], 2, FALSE)</f>
        <v>Sales</v>
      </c>
    </row>
    <row r="1069" spans="1:12" x14ac:dyDescent="0.3">
      <c r="A1069">
        <v>1068</v>
      </c>
      <c r="B1069">
        <v>3</v>
      </c>
      <c r="C1069" s="1">
        <v>45662</v>
      </c>
      <c r="D1069" s="2" t="s">
        <v>78</v>
      </c>
      <c r="E1069">
        <v>0</v>
      </c>
      <c r="F1069">
        <v>60</v>
      </c>
      <c r="G1069">
        <v>182</v>
      </c>
      <c r="H1069">
        <v>300</v>
      </c>
      <c r="I1069" t="str">
        <f>VLOOKUP(Call_Center_Data[[#This Row],[Emp ID]],Employee[],2,FALSE)</f>
        <v>Jill Saab</v>
      </c>
      <c r="J1069" t="str">
        <f>VLOOKUP(Call_Center_Data[[#This Row],[Emp ID]], Employee[], 3, FALSE)</f>
        <v>Spokane, WA</v>
      </c>
      <c r="K1069" t="str">
        <f>VLOOKUP(Call_Center_Data[[#This Row],[Emp ID]], Employee[], 4, FALSE)</f>
        <v>Timmy Gill</v>
      </c>
      <c r="L1069" t="str">
        <f>VLOOKUP(Call_Center_Data[[#This Row],[Call Type ID]], Call_Type[], 2, FALSE)</f>
        <v>Tech Sup</v>
      </c>
    </row>
    <row r="1070" spans="1:12" x14ac:dyDescent="0.3">
      <c r="A1070">
        <v>1069</v>
      </c>
      <c r="B1070">
        <v>1</v>
      </c>
      <c r="C1070" s="1">
        <v>45663</v>
      </c>
      <c r="D1070" s="2" t="s">
        <v>75</v>
      </c>
      <c r="E1070">
        <v>0</v>
      </c>
      <c r="F1070">
        <v>48</v>
      </c>
      <c r="G1070">
        <v>176</v>
      </c>
      <c r="H1070">
        <v>233</v>
      </c>
      <c r="I1070" t="str">
        <f>VLOOKUP(Call_Center_Data[[#This Row],[Emp ID]],Employee[],2,FALSE)</f>
        <v>Gina Pat</v>
      </c>
      <c r="J1070" t="str">
        <f>VLOOKUP(Call_Center_Data[[#This Row],[Emp ID]], Employee[], 3, FALSE)</f>
        <v>Spokane, WA</v>
      </c>
      <c r="K1070" t="str">
        <f>VLOOKUP(Call_Center_Data[[#This Row],[Emp ID]], Employee[], 4, FALSE)</f>
        <v>Henry Hall</v>
      </c>
      <c r="L1070" t="str">
        <f>VLOOKUP(Call_Center_Data[[#This Row],[Call Type ID]], Call_Type[], 2, FALSE)</f>
        <v>Billing</v>
      </c>
    </row>
    <row r="1071" spans="1:12" x14ac:dyDescent="0.3">
      <c r="A1071">
        <v>1070</v>
      </c>
      <c r="B1071">
        <v>3</v>
      </c>
      <c r="C1071" s="1">
        <v>45664</v>
      </c>
      <c r="D1071" s="2" t="s">
        <v>69</v>
      </c>
      <c r="E1071">
        <v>0</v>
      </c>
      <c r="F1071">
        <v>27</v>
      </c>
      <c r="G1071">
        <v>161</v>
      </c>
      <c r="H1071">
        <v>580</v>
      </c>
      <c r="I1071" t="str">
        <f>VLOOKUP(Call_Center_Data[[#This Row],[Emp ID]],Employee[],2,FALSE)</f>
        <v>Sam Gilder</v>
      </c>
      <c r="J1071" t="str">
        <f>VLOOKUP(Call_Center_Data[[#This Row],[Emp ID]], Employee[], 3, FALSE)</f>
        <v>Jacksonville, WA</v>
      </c>
      <c r="K1071" t="str">
        <f>VLOOKUP(Call_Center_Data[[#This Row],[Emp ID]], Employee[], 4, FALSE)</f>
        <v>Timmy Hall</v>
      </c>
      <c r="L1071" t="str">
        <f>VLOOKUP(Call_Center_Data[[#This Row],[Call Type ID]], Call_Type[], 2, FALSE)</f>
        <v>Tech Sup</v>
      </c>
    </row>
    <row r="1072" spans="1:12" x14ac:dyDescent="0.3">
      <c r="A1072">
        <v>1071</v>
      </c>
      <c r="B1072">
        <v>2</v>
      </c>
      <c r="C1072" s="1">
        <v>45665</v>
      </c>
      <c r="D1072" s="2" t="s">
        <v>83</v>
      </c>
      <c r="E1072">
        <v>0</v>
      </c>
      <c r="F1072">
        <v>19</v>
      </c>
      <c r="G1072">
        <v>179</v>
      </c>
      <c r="H1072">
        <v>164</v>
      </c>
      <c r="I1072" t="str">
        <f>VLOOKUP(Call_Center_Data[[#This Row],[Emp ID]],Employee[],2,FALSE)</f>
        <v>Ultor Simons</v>
      </c>
      <c r="J1072" t="str">
        <f>VLOOKUP(Call_Center_Data[[#This Row],[Emp ID]], Employee[], 3, FALSE)</f>
        <v>Jacksonville, WA</v>
      </c>
      <c r="K1072" t="str">
        <f>VLOOKUP(Call_Center_Data[[#This Row],[Emp ID]], Employee[], 4, FALSE)</f>
        <v>Pierce Hall</v>
      </c>
      <c r="L1072" t="str">
        <f>VLOOKUP(Call_Center_Data[[#This Row],[Call Type ID]], Call_Type[], 2, FALSE)</f>
        <v>Sales</v>
      </c>
    </row>
    <row r="1073" spans="1:12" x14ac:dyDescent="0.3">
      <c r="A1073">
        <v>1072</v>
      </c>
      <c r="B1073">
        <v>1</v>
      </c>
      <c r="C1073" s="1">
        <v>45666</v>
      </c>
      <c r="D1073" s="2" t="s">
        <v>79</v>
      </c>
      <c r="E1073">
        <v>1</v>
      </c>
      <c r="F1073">
        <v>30</v>
      </c>
      <c r="G1073">
        <v>195</v>
      </c>
      <c r="H1073">
        <v>385</v>
      </c>
      <c r="I1073" t="str">
        <f>VLOOKUP(Call_Center_Data[[#This Row],[Emp ID]],Employee[],2,FALSE)</f>
        <v>Gina Simons</v>
      </c>
      <c r="J1073" t="str">
        <f>VLOOKUP(Call_Center_Data[[#This Row],[Emp ID]], Employee[], 3, FALSE)</f>
        <v>Spokane, WA</v>
      </c>
      <c r="K1073" t="str">
        <f>VLOOKUP(Call_Center_Data[[#This Row],[Emp ID]], Employee[], 4, FALSE)</f>
        <v>John Rhodes</v>
      </c>
      <c r="L1073" t="str">
        <f>VLOOKUP(Call_Center_Data[[#This Row],[Call Type ID]], Call_Type[], 2, FALSE)</f>
        <v>Billing</v>
      </c>
    </row>
    <row r="1074" spans="1:12" x14ac:dyDescent="0.3">
      <c r="A1074">
        <v>1073</v>
      </c>
      <c r="B1074">
        <v>1</v>
      </c>
      <c r="C1074" s="1">
        <v>45667</v>
      </c>
      <c r="D1074" s="2" t="s">
        <v>75</v>
      </c>
      <c r="E1074">
        <v>1</v>
      </c>
      <c r="F1074">
        <v>27</v>
      </c>
      <c r="G1074">
        <v>176</v>
      </c>
      <c r="H1074">
        <v>232</v>
      </c>
      <c r="I1074" t="str">
        <f>VLOOKUP(Call_Center_Data[[#This Row],[Emp ID]],Employee[],2,FALSE)</f>
        <v>Gina Pat</v>
      </c>
      <c r="J1074" t="str">
        <f>VLOOKUP(Call_Center_Data[[#This Row],[Emp ID]], Employee[], 3, FALSE)</f>
        <v>Spokane, WA</v>
      </c>
      <c r="K1074" t="str">
        <f>VLOOKUP(Call_Center_Data[[#This Row],[Emp ID]], Employee[], 4, FALSE)</f>
        <v>Henry Hall</v>
      </c>
      <c r="L1074" t="str">
        <f>VLOOKUP(Call_Center_Data[[#This Row],[Call Type ID]], Call_Type[], 2, FALSE)</f>
        <v>Billing</v>
      </c>
    </row>
    <row r="1075" spans="1:12" x14ac:dyDescent="0.3">
      <c r="A1075">
        <v>1074</v>
      </c>
      <c r="B1075">
        <v>3</v>
      </c>
      <c r="C1075" s="1">
        <v>45668</v>
      </c>
      <c r="D1075" s="2" t="s">
        <v>74</v>
      </c>
      <c r="E1075">
        <v>1</v>
      </c>
      <c r="F1075">
        <v>29</v>
      </c>
      <c r="G1075">
        <v>136</v>
      </c>
      <c r="H1075">
        <v>261</v>
      </c>
      <c r="I1075" t="str">
        <f>VLOOKUP(Call_Center_Data[[#This Row],[Emp ID]],Employee[],2,FALSE)</f>
        <v>Gina John</v>
      </c>
      <c r="J1075" t="str">
        <f>VLOOKUP(Call_Center_Data[[#This Row],[Emp ID]], Employee[], 3, FALSE)</f>
        <v>Jacksonville, WA</v>
      </c>
      <c r="K1075" t="str">
        <f>VLOOKUP(Call_Center_Data[[#This Row],[Emp ID]], Employee[], 4, FALSE)</f>
        <v>Henry Gill</v>
      </c>
      <c r="L1075" t="str">
        <f>VLOOKUP(Call_Center_Data[[#This Row],[Call Type ID]], Call_Type[], 2, FALSE)</f>
        <v>Tech Sup</v>
      </c>
    </row>
    <row r="1076" spans="1:12" x14ac:dyDescent="0.3">
      <c r="A1076">
        <v>1075</v>
      </c>
      <c r="B1076">
        <v>2</v>
      </c>
      <c r="C1076" s="1">
        <v>45669</v>
      </c>
      <c r="D1076" s="2" t="s">
        <v>67</v>
      </c>
      <c r="E1076">
        <v>0</v>
      </c>
      <c r="F1076">
        <v>12</v>
      </c>
      <c r="G1076">
        <v>100</v>
      </c>
      <c r="H1076">
        <v>106</v>
      </c>
      <c r="I1076" t="str">
        <f>VLOOKUP(Call_Center_Data[[#This Row],[Emp ID]],Employee[],2,FALSE)</f>
        <v>Tina Pat</v>
      </c>
      <c r="J1076" t="str">
        <f>VLOOKUP(Call_Center_Data[[#This Row],[Emp ID]], Employee[], 3, FALSE)</f>
        <v>Jacksonville, WA</v>
      </c>
      <c r="K1076" t="str">
        <f>VLOOKUP(Call_Center_Data[[#This Row],[Emp ID]], Employee[], 4, FALSE)</f>
        <v>John Hall</v>
      </c>
      <c r="L1076" t="str">
        <f>VLOOKUP(Call_Center_Data[[#This Row],[Call Type ID]], Call_Type[], 2, FALSE)</f>
        <v>Sales</v>
      </c>
    </row>
    <row r="1077" spans="1:12" x14ac:dyDescent="0.3">
      <c r="A1077">
        <v>1076</v>
      </c>
      <c r="B1077">
        <v>1</v>
      </c>
      <c r="C1077" s="1">
        <v>45670</v>
      </c>
      <c r="D1077" s="2" t="s">
        <v>72</v>
      </c>
      <c r="E1077">
        <v>0</v>
      </c>
      <c r="F1077">
        <v>10</v>
      </c>
      <c r="G1077">
        <v>100</v>
      </c>
      <c r="H1077">
        <v>131</v>
      </c>
      <c r="I1077" t="str">
        <f>VLOOKUP(Call_Center_Data[[#This Row],[Emp ID]],Employee[],2,FALSE)</f>
        <v>Ultor Pat</v>
      </c>
      <c r="J1077" t="str">
        <f>VLOOKUP(Call_Center_Data[[#This Row],[Emp ID]], Employee[], 3, FALSE)</f>
        <v>Jacksonville, WA</v>
      </c>
      <c r="K1077" t="str">
        <f>VLOOKUP(Call_Center_Data[[#This Row],[Emp ID]], Employee[], 4, FALSE)</f>
        <v>Jenny Hall</v>
      </c>
      <c r="L1077" t="str">
        <f>VLOOKUP(Call_Center_Data[[#This Row],[Call Type ID]], Call_Type[], 2, FALSE)</f>
        <v>Billing</v>
      </c>
    </row>
    <row r="1078" spans="1:12" x14ac:dyDescent="0.3">
      <c r="A1078">
        <v>1077</v>
      </c>
      <c r="B1078">
        <v>2</v>
      </c>
      <c r="C1078" s="1">
        <v>45671</v>
      </c>
      <c r="D1078" s="2" t="s">
        <v>70</v>
      </c>
      <c r="E1078">
        <v>1</v>
      </c>
      <c r="F1078">
        <v>23</v>
      </c>
      <c r="G1078">
        <v>96</v>
      </c>
      <c r="H1078">
        <v>184</v>
      </c>
      <c r="I1078" t="str">
        <f>VLOOKUP(Call_Center_Data[[#This Row],[Emp ID]],Employee[],2,FALSE)</f>
        <v>Jill Pat</v>
      </c>
      <c r="J1078" t="str">
        <f>VLOOKUP(Call_Center_Data[[#This Row],[Emp ID]], Employee[], 3, FALSE)</f>
        <v>Aurora, CO</v>
      </c>
      <c r="K1078" t="str">
        <f>VLOOKUP(Call_Center_Data[[#This Row],[Emp ID]], Employee[], 4, FALSE)</f>
        <v>Henry Rhodes</v>
      </c>
      <c r="L1078" t="str">
        <f>VLOOKUP(Call_Center_Data[[#This Row],[Call Type ID]], Call_Type[], 2, FALSE)</f>
        <v>Sales</v>
      </c>
    </row>
    <row r="1079" spans="1:12" x14ac:dyDescent="0.3">
      <c r="A1079">
        <v>1078</v>
      </c>
      <c r="B1079">
        <v>2</v>
      </c>
      <c r="C1079" s="1">
        <v>45672</v>
      </c>
      <c r="D1079" s="2" t="s">
        <v>84</v>
      </c>
      <c r="E1079">
        <v>0</v>
      </c>
      <c r="F1079">
        <v>21</v>
      </c>
      <c r="G1079">
        <v>199</v>
      </c>
      <c r="H1079">
        <v>392</v>
      </c>
      <c r="I1079" t="str">
        <f>VLOOKUP(Call_Center_Data[[#This Row],[Emp ID]],Employee[],2,FALSE)</f>
        <v>Sam John</v>
      </c>
      <c r="J1079" t="str">
        <f>VLOOKUP(Call_Center_Data[[#This Row],[Emp ID]], Employee[], 3, FALSE)</f>
        <v>Aurora, CO</v>
      </c>
      <c r="K1079" t="str">
        <f>VLOOKUP(Call_Center_Data[[#This Row],[Emp ID]], Employee[], 4, FALSE)</f>
        <v>Jenny Mack</v>
      </c>
      <c r="L1079" t="str">
        <f>VLOOKUP(Call_Center_Data[[#This Row],[Call Type ID]], Call_Type[], 2, FALSE)</f>
        <v>Sales</v>
      </c>
    </row>
    <row r="1080" spans="1:12" x14ac:dyDescent="0.3">
      <c r="A1080">
        <v>1079</v>
      </c>
      <c r="B1080">
        <v>1</v>
      </c>
      <c r="C1080" s="1">
        <v>45673</v>
      </c>
      <c r="D1080" s="2" t="s">
        <v>68</v>
      </c>
      <c r="E1080">
        <v>0</v>
      </c>
      <c r="F1080">
        <v>13</v>
      </c>
      <c r="G1080">
        <v>200</v>
      </c>
      <c r="H1080">
        <v>243</v>
      </c>
      <c r="I1080" t="str">
        <f>VLOOKUP(Call_Center_Data[[#This Row],[Emp ID]],Employee[],2,FALSE)</f>
        <v>Tina Saab</v>
      </c>
      <c r="J1080" t="str">
        <f>VLOOKUP(Call_Center_Data[[#This Row],[Emp ID]], Employee[], 3, FALSE)</f>
        <v>Spokane, WA</v>
      </c>
      <c r="K1080" t="str">
        <f>VLOOKUP(Call_Center_Data[[#This Row],[Emp ID]], Employee[], 4, FALSE)</f>
        <v>Henry Baas</v>
      </c>
      <c r="L1080" t="str">
        <f>VLOOKUP(Call_Center_Data[[#This Row],[Call Type ID]], Call_Type[], 2, FALSE)</f>
        <v>Billing</v>
      </c>
    </row>
    <row r="1081" spans="1:12" x14ac:dyDescent="0.3">
      <c r="A1081">
        <v>1080</v>
      </c>
      <c r="B1081">
        <v>3</v>
      </c>
      <c r="C1081" s="1">
        <v>45674</v>
      </c>
      <c r="D1081" s="2" t="s">
        <v>80</v>
      </c>
      <c r="E1081">
        <v>1</v>
      </c>
      <c r="F1081">
        <v>14</v>
      </c>
      <c r="G1081">
        <v>208</v>
      </c>
      <c r="H1081">
        <v>199</v>
      </c>
      <c r="I1081" t="str">
        <f>VLOOKUP(Call_Center_Data[[#This Row],[Emp ID]],Employee[],2,FALSE)</f>
        <v>Tina Simons</v>
      </c>
      <c r="J1081" t="str">
        <f>VLOOKUP(Call_Center_Data[[#This Row],[Emp ID]], Employee[], 3, FALSE)</f>
        <v>Aurora, CO</v>
      </c>
      <c r="K1081" t="str">
        <f>VLOOKUP(Call_Center_Data[[#This Row],[Emp ID]], Employee[], 4, FALSE)</f>
        <v>Pierce Gill</v>
      </c>
      <c r="L1081" t="str">
        <f>VLOOKUP(Call_Center_Data[[#This Row],[Call Type ID]], Call_Type[], 2, FALSE)</f>
        <v>Tech Sup</v>
      </c>
    </row>
    <row r="1082" spans="1:12" x14ac:dyDescent="0.3">
      <c r="A1082">
        <v>1081</v>
      </c>
      <c r="B1082">
        <v>2</v>
      </c>
      <c r="C1082" s="1">
        <v>45675</v>
      </c>
      <c r="D1082" s="2" t="s">
        <v>85</v>
      </c>
      <c r="E1082">
        <v>0</v>
      </c>
      <c r="F1082">
        <v>10</v>
      </c>
      <c r="G1082">
        <v>183</v>
      </c>
      <c r="H1082">
        <v>348</v>
      </c>
      <c r="I1082" t="str">
        <f>VLOOKUP(Call_Center_Data[[#This Row],[Emp ID]],Employee[],2,FALSE)</f>
        <v>Tina Gilder</v>
      </c>
      <c r="J1082" t="str">
        <f>VLOOKUP(Call_Center_Data[[#This Row],[Emp ID]], Employee[], 3, FALSE)</f>
        <v>Spokane, WA</v>
      </c>
      <c r="K1082" t="str">
        <f>VLOOKUP(Call_Center_Data[[#This Row],[Emp ID]], Employee[], 4, FALSE)</f>
        <v>Timmy Baas</v>
      </c>
      <c r="L1082" t="str">
        <f>VLOOKUP(Call_Center_Data[[#This Row],[Call Type ID]], Call_Type[], 2, FALSE)</f>
        <v>Sales</v>
      </c>
    </row>
    <row r="1083" spans="1:12" x14ac:dyDescent="0.3">
      <c r="A1083">
        <v>1082</v>
      </c>
      <c r="B1083">
        <v>2</v>
      </c>
      <c r="C1083" s="1">
        <v>45676</v>
      </c>
      <c r="D1083" s="2" t="s">
        <v>77</v>
      </c>
      <c r="E1083">
        <v>0</v>
      </c>
      <c r="F1083">
        <v>16</v>
      </c>
      <c r="G1083">
        <v>187</v>
      </c>
      <c r="H1083">
        <v>323</v>
      </c>
      <c r="I1083" t="str">
        <f>VLOOKUP(Call_Center_Data[[#This Row],[Emp ID]],Employee[],2,FALSE)</f>
        <v>Sam Saab</v>
      </c>
      <c r="J1083" t="str">
        <f>VLOOKUP(Call_Center_Data[[#This Row],[Emp ID]], Employee[], 3, FALSE)</f>
        <v>Aurora, CO</v>
      </c>
      <c r="K1083" t="str">
        <f>VLOOKUP(Call_Center_Data[[#This Row],[Emp ID]], Employee[], 4, FALSE)</f>
        <v>Timmy Mack</v>
      </c>
      <c r="L1083" t="str">
        <f>VLOOKUP(Call_Center_Data[[#This Row],[Call Type ID]], Call_Type[], 2, FALSE)</f>
        <v>Sales</v>
      </c>
    </row>
    <row r="1084" spans="1:12" x14ac:dyDescent="0.3">
      <c r="A1084">
        <v>1083</v>
      </c>
      <c r="B1084">
        <v>3</v>
      </c>
      <c r="C1084" s="1">
        <v>45677</v>
      </c>
      <c r="D1084" s="2" t="s">
        <v>74</v>
      </c>
      <c r="E1084">
        <v>1</v>
      </c>
      <c r="F1084">
        <v>21</v>
      </c>
      <c r="G1084">
        <v>221</v>
      </c>
      <c r="H1084">
        <v>192</v>
      </c>
      <c r="I1084" t="str">
        <f>VLOOKUP(Call_Center_Data[[#This Row],[Emp ID]],Employee[],2,FALSE)</f>
        <v>Gina John</v>
      </c>
      <c r="J1084" t="str">
        <f>VLOOKUP(Call_Center_Data[[#This Row],[Emp ID]], Employee[], 3, FALSE)</f>
        <v>Jacksonville, WA</v>
      </c>
      <c r="K1084" t="str">
        <f>VLOOKUP(Call_Center_Data[[#This Row],[Emp ID]], Employee[], 4, FALSE)</f>
        <v>Henry Gill</v>
      </c>
      <c r="L1084" t="str">
        <f>VLOOKUP(Call_Center_Data[[#This Row],[Call Type ID]], Call_Type[], 2, FALSE)</f>
        <v>Tech Sup</v>
      </c>
    </row>
    <row r="1085" spans="1:12" x14ac:dyDescent="0.3">
      <c r="A1085">
        <v>1084</v>
      </c>
      <c r="B1085">
        <v>3</v>
      </c>
      <c r="C1085" s="1">
        <v>45678</v>
      </c>
      <c r="D1085" s="2" t="s">
        <v>87</v>
      </c>
      <c r="E1085">
        <v>0</v>
      </c>
      <c r="F1085">
        <v>21</v>
      </c>
      <c r="G1085">
        <v>115</v>
      </c>
      <c r="H1085">
        <v>226</v>
      </c>
      <c r="I1085" t="str">
        <f>VLOOKUP(Call_Center_Data[[#This Row],[Emp ID]],Employee[],2,FALSE)</f>
        <v>Gina Saab</v>
      </c>
      <c r="J1085" t="str">
        <f>VLOOKUP(Call_Center_Data[[#This Row],[Emp ID]], Employee[], 3, FALSE)</f>
        <v>Jacksonville, WA</v>
      </c>
      <c r="K1085" t="str">
        <f>VLOOKUP(Call_Center_Data[[#This Row],[Emp ID]], Employee[], 4, FALSE)</f>
        <v>Jenny Gill</v>
      </c>
      <c r="L1085" t="str">
        <f>VLOOKUP(Call_Center_Data[[#This Row],[Call Type ID]], Call_Type[], 2, FALSE)</f>
        <v>Tech Sup</v>
      </c>
    </row>
    <row r="1086" spans="1:12" x14ac:dyDescent="0.3">
      <c r="A1086">
        <v>1085</v>
      </c>
      <c r="B1086">
        <v>1</v>
      </c>
      <c r="C1086" s="1">
        <v>45679</v>
      </c>
      <c r="D1086" s="2" t="s">
        <v>85</v>
      </c>
      <c r="E1086">
        <v>0</v>
      </c>
      <c r="F1086">
        <v>13</v>
      </c>
      <c r="G1086">
        <v>185</v>
      </c>
      <c r="H1086">
        <v>116</v>
      </c>
      <c r="I1086" t="str">
        <f>VLOOKUP(Call_Center_Data[[#This Row],[Emp ID]],Employee[],2,FALSE)</f>
        <v>Tina Gilder</v>
      </c>
      <c r="J1086" t="str">
        <f>VLOOKUP(Call_Center_Data[[#This Row],[Emp ID]], Employee[], 3, FALSE)</f>
        <v>Spokane, WA</v>
      </c>
      <c r="K1086" t="str">
        <f>VLOOKUP(Call_Center_Data[[#This Row],[Emp ID]], Employee[], 4, FALSE)</f>
        <v>Timmy Baas</v>
      </c>
      <c r="L1086" t="str">
        <f>VLOOKUP(Call_Center_Data[[#This Row],[Call Type ID]], Call_Type[], 2, FALSE)</f>
        <v>Billing</v>
      </c>
    </row>
    <row r="1087" spans="1:12" x14ac:dyDescent="0.3">
      <c r="A1087">
        <v>1086</v>
      </c>
      <c r="B1087">
        <v>1</v>
      </c>
      <c r="C1087" s="1">
        <v>45680</v>
      </c>
      <c r="D1087" s="2" t="s">
        <v>73</v>
      </c>
      <c r="E1087">
        <v>1</v>
      </c>
      <c r="F1087">
        <v>16</v>
      </c>
      <c r="G1087">
        <v>184</v>
      </c>
      <c r="H1087">
        <v>229</v>
      </c>
      <c r="I1087" t="str">
        <f>VLOOKUP(Call_Center_Data[[#This Row],[Emp ID]],Employee[],2,FALSE)</f>
        <v>Jill John</v>
      </c>
      <c r="J1087" t="str">
        <f>VLOOKUP(Call_Center_Data[[#This Row],[Emp ID]], Employee[], 3, FALSE)</f>
        <v>Spokane, WA</v>
      </c>
      <c r="K1087" t="str">
        <f>VLOOKUP(Call_Center_Data[[#This Row],[Emp ID]], Employee[], 4, FALSE)</f>
        <v>John Gill</v>
      </c>
      <c r="L1087" t="str">
        <f>VLOOKUP(Call_Center_Data[[#This Row],[Call Type ID]], Call_Type[], 2, FALSE)</f>
        <v>Billing</v>
      </c>
    </row>
    <row r="1088" spans="1:12" x14ac:dyDescent="0.3">
      <c r="A1088">
        <v>1087</v>
      </c>
      <c r="B1088">
        <v>3</v>
      </c>
      <c r="C1088" s="1">
        <v>45681</v>
      </c>
      <c r="D1088" s="2" t="s">
        <v>82</v>
      </c>
      <c r="E1088">
        <v>1</v>
      </c>
      <c r="F1088">
        <v>12</v>
      </c>
      <c r="G1088">
        <v>186</v>
      </c>
      <c r="H1088">
        <v>269</v>
      </c>
      <c r="I1088" t="str">
        <f>VLOOKUP(Call_Center_Data[[#This Row],[Emp ID]],Employee[],2,FALSE)</f>
        <v>Ultor Gilder</v>
      </c>
      <c r="J1088" t="str">
        <f>VLOOKUP(Call_Center_Data[[#This Row],[Emp ID]], Employee[], 3, FALSE)</f>
        <v>Aurora, CO</v>
      </c>
      <c r="K1088" t="str">
        <f>VLOOKUP(Call_Center_Data[[#This Row],[Emp ID]], Employee[], 4, FALSE)</f>
        <v>Pierce Mack</v>
      </c>
      <c r="L1088" t="str">
        <f>VLOOKUP(Call_Center_Data[[#This Row],[Call Type ID]], Call_Type[], 2, FALSE)</f>
        <v>Tech Sup</v>
      </c>
    </row>
    <row r="1089" spans="1:12" x14ac:dyDescent="0.3">
      <c r="A1089">
        <v>1088</v>
      </c>
      <c r="B1089">
        <v>2</v>
      </c>
      <c r="C1089" s="1">
        <v>45682</v>
      </c>
      <c r="D1089" s="2" t="s">
        <v>81</v>
      </c>
      <c r="E1089">
        <v>1</v>
      </c>
      <c r="F1089">
        <v>12</v>
      </c>
      <c r="G1089">
        <v>194</v>
      </c>
      <c r="H1089">
        <v>173</v>
      </c>
      <c r="I1089" t="str">
        <f>VLOOKUP(Call_Center_Data[[#This Row],[Emp ID]],Employee[],2,FALSE)</f>
        <v>Sam Simons</v>
      </c>
      <c r="J1089" t="str">
        <f>VLOOKUP(Call_Center_Data[[#This Row],[Emp ID]], Employee[], 3, FALSE)</f>
        <v>Jacksonville, WA</v>
      </c>
      <c r="K1089" t="str">
        <f>VLOOKUP(Call_Center_Data[[#This Row],[Emp ID]], Employee[], 4, FALSE)</f>
        <v>John Baas</v>
      </c>
      <c r="L1089" t="str">
        <f>VLOOKUP(Call_Center_Data[[#This Row],[Call Type ID]], Call_Type[], 2, FALSE)</f>
        <v>Sales</v>
      </c>
    </row>
    <row r="1090" spans="1:12" x14ac:dyDescent="0.3">
      <c r="A1090">
        <v>1089</v>
      </c>
      <c r="B1090">
        <v>3</v>
      </c>
      <c r="C1090" s="1">
        <v>45683</v>
      </c>
      <c r="D1090" s="2" t="s">
        <v>85</v>
      </c>
      <c r="E1090">
        <v>0</v>
      </c>
      <c r="F1090">
        <v>22</v>
      </c>
      <c r="G1090">
        <v>179</v>
      </c>
      <c r="H1090">
        <v>186</v>
      </c>
      <c r="I1090" t="str">
        <f>VLOOKUP(Call_Center_Data[[#This Row],[Emp ID]],Employee[],2,FALSE)</f>
        <v>Tina Gilder</v>
      </c>
      <c r="J1090" t="str">
        <f>VLOOKUP(Call_Center_Data[[#This Row],[Emp ID]], Employee[], 3, FALSE)</f>
        <v>Spokane, WA</v>
      </c>
      <c r="K1090" t="str">
        <f>VLOOKUP(Call_Center_Data[[#This Row],[Emp ID]], Employee[], 4, FALSE)</f>
        <v>Timmy Baas</v>
      </c>
      <c r="L1090" t="str">
        <f>VLOOKUP(Call_Center_Data[[#This Row],[Call Type ID]], Call_Type[], 2, FALSE)</f>
        <v>Tech Sup</v>
      </c>
    </row>
    <row r="1091" spans="1:12" x14ac:dyDescent="0.3">
      <c r="A1091">
        <v>1090</v>
      </c>
      <c r="B1091">
        <v>1</v>
      </c>
      <c r="C1091" s="1">
        <v>45684</v>
      </c>
      <c r="D1091" s="2" t="s">
        <v>67</v>
      </c>
      <c r="E1091">
        <v>0</v>
      </c>
      <c r="F1091">
        <v>13</v>
      </c>
      <c r="G1091">
        <v>183</v>
      </c>
      <c r="H1091">
        <v>89</v>
      </c>
      <c r="I1091" t="str">
        <f>VLOOKUP(Call_Center_Data[[#This Row],[Emp ID]],Employee[],2,FALSE)</f>
        <v>Tina Pat</v>
      </c>
      <c r="J1091" t="str">
        <f>VLOOKUP(Call_Center_Data[[#This Row],[Emp ID]], Employee[], 3, FALSE)</f>
        <v>Jacksonville, WA</v>
      </c>
      <c r="K1091" t="str">
        <f>VLOOKUP(Call_Center_Data[[#This Row],[Emp ID]], Employee[], 4, FALSE)</f>
        <v>John Hall</v>
      </c>
      <c r="L1091" t="str">
        <f>VLOOKUP(Call_Center_Data[[#This Row],[Call Type ID]], Call_Type[], 2, FALSE)</f>
        <v>Billing</v>
      </c>
    </row>
    <row r="1092" spans="1:12" x14ac:dyDescent="0.3">
      <c r="A1092">
        <v>1091</v>
      </c>
      <c r="B1092">
        <v>3</v>
      </c>
      <c r="C1092" s="1">
        <v>45685</v>
      </c>
      <c r="D1092" s="2" t="s">
        <v>82</v>
      </c>
      <c r="E1092">
        <v>0</v>
      </c>
      <c r="F1092">
        <v>13</v>
      </c>
      <c r="G1092">
        <v>182</v>
      </c>
      <c r="H1092">
        <v>117</v>
      </c>
      <c r="I1092" t="str">
        <f>VLOOKUP(Call_Center_Data[[#This Row],[Emp ID]],Employee[],2,FALSE)</f>
        <v>Ultor Gilder</v>
      </c>
      <c r="J1092" t="str">
        <f>VLOOKUP(Call_Center_Data[[#This Row],[Emp ID]], Employee[], 3, FALSE)</f>
        <v>Aurora, CO</v>
      </c>
      <c r="K1092" t="str">
        <f>VLOOKUP(Call_Center_Data[[#This Row],[Emp ID]], Employee[], 4, FALSE)</f>
        <v>Pierce Mack</v>
      </c>
      <c r="L1092" t="str">
        <f>VLOOKUP(Call_Center_Data[[#This Row],[Call Type ID]], Call_Type[], 2, FALSE)</f>
        <v>Tech Sup</v>
      </c>
    </row>
    <row r="1093" spans="1:12" x14ac:dyDescent="0.3">
      <c r="A1093">
        <v>1092</v>
      </c>
      <c r="B1093">
        <v>3</v>
      </c>
      <c r="C1093" s="1">
        <v>45686</v>
      </c>
      <c r="D1093" s="2" t="s">
        <v>72</v>
      </c>
      <c r="E1093">
        <v>1</v>
      </c>
      <c r="F1093">
        <v>14</v>
      </c>
      <c r="G1093">
        <v>194</v>
      </c>
      <c r="H1093">
        <v>222</v>
      </c>
      <c r="I1093" t="str">
        <f>VLOOKUP(Call_Center_Data[[#This Row],[Emp ID]],Employee[],2,FALSE)</f>
        <v>Ultor Pat</v>
      </c>
      <c r="J1093" t="str">
        <f>VLOOKUP(Call_Center_Data[[#This Row],[Emp ID]], Employee[], 3, FALSE)</f>
        <v>Jacksonville, WA</v>
      </c>
      <c r="K1093" t="str">
        <f>VLOOKUP(Call_Center_Data[[#This Row],[Emp ID]], Employee[], 4, FALSE)</f>
        <v>Jenny Hall</v>
      </c>
      <c r="L1093" t="str">
        <f>VLOOKUP(Call_Center_Data[[#This Row],[Call Type ID]], Call_Type[], 2, FALSE)</f>
        <v>Tech Sup</v>
      </c>
    </row>
    <row r="1094" spans="1:12" x14ac:dyDescent="0.3">
      <c r="A1094">
        <v>1093</v>
      </c>
      <c r="B1094">
        <v>1</v>
      </c>
      <c r="C1094" s="1">
        <v>45687</v>
      </c>
      <c r="D1094" s="2" t="s">
        <v>65</v>
      </c>
      <c r="E1094">
        <v>1</v>
      </c>
      <c r="F1094">
        <v>11</v>
      </c>
      <c r="G1094">
        <v>181</v>
      </c>
      <c r="H1094">
        <v>116</v>
      </c>
      <c r="I1094" t="str">
        <f>VLOOKUP(Call_Center_Data[[#This Row],[Emp ID]],Employee[],2,FALSE)</f>
        <v>Ultor John</v>
      </c>
      <c r="J1094" t="str">
        <f>VLOOKUP(Call_Center_Data[[#This Row],[Emp ID]], Employee[], 3, FALSE)</f>
        <v>Spokane, WA</v>
      </c>
      <c r="K1094" t="str">
        <f>VLOOKUP(Call_Center_Data[[#This Row],[Emp ID]], Employee[], 4, FALSE)</f>
        <v>John Mack</v>
      </c>
      <c r="L1094" t="str">
        <f>VLOOKUP(Call_Center_Data[[#This Row],[Call Type ID]], Call_Type[], 2, FALSE)</f>
        <v>Billing</v>
      </c>
    </row>
    <row r="1095" spans="1:12" x14ac:dyDescent="0.3">
      <c r="A1095">
        <v>1094</v>
      </c>
      <c r="B1095">
        <v>3</v>
      </c>
      <c r="C1095" s="1">
        <v>45688</v>
      </c>
      <c r="D1095" s="2" t="s">
        <v>82</v>
      </c>
      <c r="E1095">
        <v>0</v>
      </c>
      <c r="F1095">
        <v>5</v>
      </c>
      <c r="G1095">
        <v>179</v>
      </c>
      <c r="H1095">
        <v>73</v>
      </c>
      <c r="I1095" t="str">
        <f>VLOOKUP(Call_Center_Data[[#This Row],[Emp ID]],Employee[],2,FALSE)</f>
        <v>Ultor Gilder</v>
      </c>
      <c r="J1095" t="str">
        <f>VLOOKUP(Call_Center_Data[[#This Row],[Emp ID]], Employee[], 3, FALSE)</f>
        <v>Aurora, CO</v>
      </c>
      <c r="K1095" t="str">
        <f>VLOOKUP(Call_Center_Data[[#This Row],[Emp ID]], Employee[], 4, FALSE)</f>
        <v>Pierce Mack</v>
      </c>
      <c r="L1095" t="str">
        <f>VLOOKUP(Call_Center_Data[[#This Row],[Call Type ID]], Call_Type[], 2, FALSE)</f>
        <v>Tech Sup</v>
      </c>
    </row>
    <row r="1096" spans="1:12" x14ac:dyDescent="0.3">
      <c r="A1096">
        <v>1095</v>
      </c>
      <c r="B1096">
        <v>2</v>
      </c>
      <c r="C1096" s="1">
        <v>45689</v>
      </c>
      <c r="D1096" s="2" t="s">
        <v>68</v>
      </c>
      <c r="E1096">
        <v>1</v>
      </c>
      <c r="F1096">
        <v>11</v>
      </c>
      <c r="G1096">
        <v>176</v>
      </c>
      <c r="H1096">
        <v>174</v>
      </c>
      <c r="I1096" t="str">
        <f>VLOOKUP(Call_Center_Data[[#This Row],[Emp ID]],Employee[],2,FALSE)</f>
        <v>Tina Saab</v>
      </c>
      <c r="J1096" t="str">
        <f>VLOOKUP(Call_Center_Data[[#This Row],[Emp ID]], Employee[], 3, FALSE)</f>
        <v>Spokane, WA</v>
      </c>
      <c r="K1096" t="str">
        <f>VLOOKUP(Call_Center_Data[[#This Row],[Emp ID]], Employee[], 4, FALSE)</f>
        <v>Henry Baas</v>
      </c>
      <c r="L1096" t="str">
        <f>VLOOKUP(Call_Center_Data[[#This Row],[Call Type ID]], Call_Type[], 2, FALSE)</f>
        <v>Sales</v>
      </c>
    </row>
    <row r="1097" spans="1:12" x14ac:dyDescent="0.3">
      <c r="A1097">
        <v>1096</v>
      </c>
      <c r="B1097">
        <v>1</v>
      </c>
      <c r="C1097" s="1">
        <v>45690</v>
      </c>
      <c r="D1097" s="2" t="s">
        <v>68</v>
      </c>
      <c r="E1097">
        <v>1</v>
      </c>
      <c r="F1097">
        <v>19</v>
      </c>
      <c r="G1097">
        <v>184</v>
      </c>
      <c r="H1097">
        <v>186</v>
      </c>
      <c r="I1097" t="str">
        <f>VLOOKUP(Call_Center_Data[[#This Row],[Emp ID]],Employee[],2,FALSE)</f>
        <v>Tina Saab</v>
      </c>
      <c r="J1097" t="str">
        <f>VLOOKUP(Call_Center_Data[[#This Row],[Emp ID]], Employee[], 3, FALSE)</f>
        <v>Spokane, WA</v>
      </c>
      <c r="K1097" t="str">
        <f>VLOOKUP(Call_Center_Data[[#This Row],[Emp ID]], Employee[], 4, FALSE)</f>
        <v>Henry Baas</v>
      </c>
      <c r="L1097" t="str">
        <f>VLOOKUP(Call_Center_Data[[#This Row],[Call Type ID]], Call_Type[], 2, FALSE)</f>
        <v>Billing</v>
      </c>
    </row>
    <row r="1098" spans="1:12" x14ac:dyDescent="0.3">
      <c r="A1098">
        <v>1097</v>
      </c>
      <c r="B1098">
        <v>1</v>
      </c>
      <c r="C1098" s="1">
        <v>45691</v>
      </c>
      <c r="D1098" s="2" t="s">
        <v>80</v>
      </c>
      <c r="E1098">
        <v>1</v>
      </c>
      <c r="F1098">
        <v>11</v>
      </c>
      <c r="G1098">
        <v>177</v>
      </c>
      <c r="H1098">
        <v>58</v>
      </c>
      <c r="I1098" t="str">
        <f>VLOOKUP(Call_Center_Data[[#This Row],[Emp ID]],Employee[],2,FALSE)</f>
        <v>Tina Simons</v>
      </c>
      <c r="J1098" t="str">
        <f>VLOOKUP(Call_Center_Data[[#This Row],[Emp ID]], Employee[], 3, FALSE)</f>
        <v>Aurora, CO</v>
      </c>
      <c r="K1098" t="str">
        <f>VLOOKUP(Call_Center_Data[[#This Row],[Emp ID]], Employee[], 4, FALSE)</f>
        <v>Pierce Gill</v>
      </c>
      <c r="L1098" t="str">
        <f>VLOOKUP(Call_Center_Data[[#This Row],[Call Type ID]], Call_Type[], 2, FALSE)</f>
        <v>Billing</v>
      </c>
    </row>
    <row r="1099" spans="1:12" x14ac:dyDescent="0.3">
      <c r="A1099">
        <v>1098</v>
      </c>
      <c r="B1099">
        <v>2</v>
      </c>
      <c r="C1099" s="1">
        <v>45692</v>
      </c>
      <c r="D1099" s="2" t="s">
        <v>72</v>
      </c>
      <c r="E1099">
        <v>1</v>
      </c>
      <c r="F1099">
        <v>11</v>
      </c>
      <c r="G1099">
        <v>182</v>
      </c>
      <c r="H1099">
        <v>201</v>
      </c>
      <c r="I1099" t="str">
        <f>VLOOKUP(Call_Center_Data[[#This Row],[Emp ID]],Employee[],2,FALSE)</f>
        <v>Ultor Pat</v>
      </c>
      <c r="J1099" t="str">
        <f>VLOOKUP(Call_Center_Data[[#This Row],[Emp ID]], Employee[], 3, FALSE)</f>
        <v>Jacksonville, WA</v>
      </c>
      <c r="K1099" t="str">
        <f>VLOOKUP(Call_Center_Data[[#This Row],[Emp ID]], Employee[], 4, FALSE)</f>
        <v>Jenny Hall</v>
      </c>
      <c r="L1099" t="str">
        <f>VLOOKUP(Call_Center_Data[[#This Row],[Call Type ID]], Call_Type[], 2, FALSE)</f>
        <v>Sales</v>
      </c>
    </row>
    <row r="1100" spans="1:12" x14ac:dyDescent="0.3">
      <c r="A1100">
        <v>1099</v>
      </c>
      <c r="B1100">
        <v>2</v>
      </c>
      <c r="C1100" s="1">
        <v>45693</v>
      </c>
      <c r="D1100" s="2" t="s">
        <v>79</v>
      </c>
      <c r="E1100">
        <v>1</v>
      </c>
      <c r="F1100">
        <v>11</v>
      </c>
      <c r="G1100">
        <v>171</v>
      </c>
      <c r="H1100">
        <v>145</v>
      </c>
      <c r="I1100" t="str">
        <f>VLOOKUP(Call_Center_Data[[#This Row],[Emp ID]],Employee[],2,FALSE)</f>
        <v>Gina Simons</v>
      </c>
      <c r="J1100" t="str">
        <f>VLOOKUP(Call_Center_Data[[#This Row],[Emp ID]], Employee[], 3, FALSE)</f>
        <v>Spokane, WA</v>
      </c>
      <c r="K1100" t="str">
        <f>VLOOKUP(Call_Center_Data[[#This Row],[Emp ID]], Employee[], 4, FALSE)</f>
        <v>John Rhodes</v>
      </c>
      <c r="L1100" t="str">
        <f>VLOOKUP(Call_Center_Data[[#This Row],[Call Type ID]], Call_Type[], 2, FALSE)</f>
        <v>Sales</v>
      </c>
    </row>
    <row r="1101" spans="1:12" x14ac:dyDescent="0.3">
      <c r="A1101">
        <v>1100</v>
      </c>
      <c r="B1101">
        <v>1</v>
      </c>
      <c r="C1101" s="1">
        <v>45694</v>
      </c>
      <c r="D1101" s="2" t="s">
        <v>80</v>
      </c>
      <c r="E1101">
        <v>1</v>
      </c>
      <c r="F1101">
        <v>11</v>
      </c>
      <c r="G1101">
        <v>156</v>
      </c>
      <c r="H1101">
        <v>218</v>
      </c>
      <c r="I1101" t="str">
        <f>VLOOKUP(Call_Center_Data[[#This Row],[Emp ID]],Employee[],2,FALSE)</f>
        <v>Tina Simons</v>
      </c>
      <c r="J1101" t="str">
        <f>VLOOKUP(Call_Center_Data[[#This Row],[Emp ID]], Employee[], 3, FALSE)</f>
        <v>Aurora, CO</v>
      </c>
      <c r="K1101" t="str">
        <f>VLOOKUP(Call_Center_Data[[#This Row],[Emp ID]], Employee[], 4, FALSE)</f>
        <v>Pierce Gill</v>
      </c>
      <c r="L1101" t="str">
        <f>VLOOKUP(Call_Center_Data[[#This Row],[Call Type ID]], Call_Type[], 2, FALSE)</f>
        <v>Billing</v>
      </c>
    </row>
    <row r="1102" spans="1:12" x14ac:dyDescent="0.3">
      <c r="A1102">
        <v>1101</v>
      </c>
      <c r="B1102">
        <v>1</v>
      </c>
      <c r="C1102" s="1">
        <v>45695</v>
      </c>
      <c r="D1102" s="2" t="s">
        <v>65</v>
      </c>
      <c r="E1102">
        <v>0</v>
      </c>
      <c r="F1102">
        <v>7</v>
      </c>
      <c r="G1102">
        <v>183</v>
      </c>
      <c r="H1102">
        <v>60</v>
      </c>
      <c r="I1102" t="str">
        <f>VLOOKUP(Call_Center_Data[[#This Row],[Emp ID]],Employee[],2,FALSE)</f>
        <v>Ultor John</v>
      </c>
      <c r="J1102" t="str">
        <f>VLOOKUP(Call_Center_Data[[#This Row],[Emp ID]], Employee[], 3, FALSE)</f>
        <v>Spokane, WA</v>
      </c>
      <c r="K1102" t="str">
        <f>VLOOKUP(Call_Center_Data[[#This Row],[Emp ID]], Employee[], 4, FALSE)</f>
        <v>John Mack</v>
      </c>
      <c r="L1102" t="str">
        <f>VLOOKUP(Call_Center_Data[[#This Row],[Call Type ID]], Call_Type[], 2, FALSE)</f>
        <v>Billing</v>
      </c>
    </row>
    <row r="1103" spans="1:12" x14ac:dyDescent="0.3">
      <c r="A1103">
        <v>1102</v>
      </c>
      <c r="B1103">
        <v>2</v>
      </c>
      <c r="C1103" s="1">
        <v>45696</v>
      </c>
      <c r="D1103" s="2" t="s">
        <v>75</v>
      </c>
      <c r="E1103">
        <v>1</v>
      </c>
      <c r="F1103">
        <v>8</v>
      </c>
      <c r="G1103">
        <v>186</v>
      </c>
      <c r="H1103">
        <v>72</v>
      </c>
      <c r="I1103" t="str">
        <f>VLOOKUP(Call_Center_Data[[#This Row],[Emp ID]],Employee[],2,FALSE)</f>
        <v>Gina Pat</v>
      </c>
      <c r="J1103" t="str">
        <f>VLOOKUP(Call_Center_Data[[#This Row],[Emp ID]], Employee[], 3, FALSE)</f>
        <v>Spokane, WA</v>
      </c>
      <c r="K1103" t="str">
        <f>VLOOKUP(Call_Center_Data[[#This Row],[Emp ID]], Employee[], 4, FALSE)</f>
        <v>Henry Hall</v>
      </c>
      <c r="L1103" t="str">
        <f>VLOOKUP(Call_Center_Data[[#This Row],[Call Type ID]], Call_Type[], 2, FALSE)</f>
        <v>Sales</v>
      </c>
    </row>
    <row r="1104" spans="1:12" x14ac:dyDescent="0.3">
      <c r="A1104">
        <v>1103</v>
      </c>
      <c r="B1104">
        <v>1</v>
      </c>
      <c r="C1104" s="1">
        <v>45697</v>
      </c>
      <c r="D1104" s="2" t="s">
        <v>68</v>
      </c>
      <c r="E1104">
        <v>1</v>
      </c>
      <c r="F1104">
        <v>17</v>
      </c>
      <c r="G1104">
        <v>189</v>
      </c>
      <c r="H1104">
        <v>174</v>
      </c>
      <c r="I1104" t="str">
        <f>VLOOKUP(Call_Center_Data[[#This Row],[Emp ID]],Employee[],2,FALSE)</f>
        <v>Tina Saab</v>
      </c>
      <c r="J1104" t="str">
        <f>VLOOKUP(Call_Center_Data[[#This Row],[Emp ID]], Employee[], 3, FALSE)</f>
        <v>Spokane, WA</v>
      </c>
      <c r="K1104" t="str">
        <f>VLOOKUP(Call_Center_Data[[#This Row],[Emp ID]], Employee[], 4, FALSE)</f>
        <v>Henry Baas</v>
      </c>
      <c r="L1104" t="str">
        <f>VLOOKUP(Call_Center_Data[[#This Row],[Call Type ID]], Call_Type[], 2, FALSE)</f>
        <v>Billing</v>
      </c>
    </row>
    <row r="1105" spans="1:12" x14ac:dyDescent="0.3">
      <c r="A1105">
        <v>1104</v>
      </c>
      <c r="B1105">
        <v>1</v>
      </c>
      <c r="C1105" s="1">
        <v>45698</v>
      </c>
      <c r="D1105" s="2" t="s">
        <v>85</v>
      </c>
      <c r="E1105">
        <v>1</v>
      </c>
      <c r="F1105">
        <v>5</v>
      </c>
      <c r="G1105">
        <v>165</v>
      </c>
      <c r="H1105">
        <v>116</v>
      </c>
      <c r="I1105" t="str">
        <f>VLOOKUP(Call_Center_Data[[#This Row],[Emp ID]],Employee[],2,FALSE)</f>
        <v>Tina Gilder</v>
      </c>
      <c r="J1105" t="str">
        <f>VLOOKUP(Call_Center_Data[[#This Row],[Emp ID]], Employee[], 3, FALSE)</f>
        <v>Spokane, WA</v>
      </c>
      <c r="K1105" t="str">
        <f>VLOOKUP(Call_Center_Data[[#This Row],[Emp ID]], Employee[], 4, FALSE)</f>
        <v>Timmy Baas</v>
      </c>
      <c r="L1105" t="str">
        <f>VLOOKUP(Call_Center_Data[[#This Row],[Call Type ID]], Call_Type[], 2, FALSE)</f>
        <v>Billing</v>
      </c>
    </row>
    <row r="1106" spans="1:12" x14ac:dyDescent="0.3">
      <c r="A1106">
        <v>1105</v>
      </c>
      <c r="B1106">
        <v>2</v>
      </c>
      <c r="C1106" s="1">
        <v>45699</v>
      </c>
      <c r="D1106" s="2" t="s">
        <v>84</v>
      </c>
      <c r="E1106">
        <v>1</v>
      </c>
      <c r="F1106">
        <v>11</v>
      </c>
      <c r="G1106">
        <v>162</v>
      </c>
      <c r="H1106">
        <v>118</v>
      </c>
      <c r="I1106" t="str">
        <f>VLOOKUP(Call_Center_Data[[#This Row],[Emp ID]],Employee[],2,FALSE)</f>
        <v>Sam John</v>
      </c>
      <c r="J1106" t="str">
        <f>VLOOKUP(Call_Center_Data[[#This Row],[Emp ID]], Employee[], 3, FALSE)</f>
        <v>Aurora, CO</v>
      </c>
      <c r="K1106" t="str">
        <f>VLOOKUP(Call_Center_Data[[#This Row],[Emp ID]], Employee[], 4, FALSE)</f>
        <v>Jenny Mack</v>
      </c>
      <c r="L1106" t="str">
        <f>VLOOKUP(Call_Center_Data[[#This Row],[Call Type ID]], Call_Type[], 2, FALSE)</f>
        <v>Sales</v>
      </c>
    </row>
    <row r="1107" spans="1:12" x14ac:dyDescent="0.3">
      <c r="A1107">
        <v>1106</v>
      </c>
      <c r="B1107">
        <v>1</v>
      </c>
      <c r="C1107" s="1">
        <v>45700</v>
      </c>
      <c r="D1107" s="2" t="s">
        <v>84</v>
      </c>
      <c r="E1107">
        <v>1</v>
      </c>
      <c r="F1107">
        <v>28</v>
      </c>
      <c r="G1107">
        <v>151</v>
      </c>
      <c r="H1107">
        <v>148</v>
      </c>
      <c r="I1107" t="str">
        <f>VLOOKUP(Call_Center_Data[[#This Row],[Emp ID]],Employee[],2,FALSE)</f>
        <v>Sam John</v>
      </c>
      <c r="J1107" t="str">
        <f>VLOOKUP(Call_Center_Data[[#This Row],[Emp ID]], Employee[], 3, FALSE)</f>
        <v>Aurora, CO</v>
      </c>
      <c r="K1107" t="str">
        <f>VLOOKUP(Call_Center_Data[[#This Row],[Emp ID]], Employee[], 4, FALSE)</f>
        <v>Jenny Mack</v>
      </c>
      <c r="L1107" t="str">
        <f>VLOOKUP(Call_Center_Data[[#This Row],[Call Type ID]], Call_Type[], 2, FALSE)</f>
        <v>Billing</v>
      </c>
    </row>
    <row r="1108" spans="1:12" x14ac:dyDescent="0.3">
      <c r="A1108">
        <v>1107</v>
      </c>
      <c r="B1108">
        <v>1</v>
      </c>
      <c r="C1108" s="1">
        <v>45701</v>
      </c>
      <c r="D1108" s="2" t="s">
        <v>65</v>
      </c>
      <c r="E1108">
        <v>0</v>
      </c>
      <c r="F1108">
        <v>27</v>
      </c>
      <c r="G1108">
        <v>146</v>
      </c>
      <c r="H1108">
        <v>401</v>
      </c>
      <c r="I1108" t="str">
        <f>VLOOKUP(Call_Center_Data[[#This Row],[Emp ID]],Employee[],2,FALSE)</f>
        <v>Ultor John</v>
      </c>
      <c r="J1108" t="str">
        <f>VLOOKUP(Call_Center_Data[[#This Row],[Emp ID]], Employee[], 3, FALSE)</f>
        <v>Spokane, WA</v>
      </c>
      <c r="K1108" t="str">
        <f>VLOOKUP(Call_Center_Data[[#This Row],[Emp ID]], Employee[], 4, FALSE)</f>
        <v>John Mack</v>
      </c>
      <c r="L1108" t="str">
        <f>VLOOKUP(Call_Center_Data[[#This Row],[Call Type ID]], Call_Type[], 2, FALSE)</f>
        <v>Billing</v>
      </c>
    </row>
    <row r="1109" spans="1:12" x14ac:dyDescent="0.3">
      <c r="A1109">
        <v>1108</v>
      </c>
      <c r="B1109">
        <v>3</v>
      </c>
      <c r="C1109" s="1">
        <v>45702</v>
      </c>
      <c r="D1109" s="2" t="s">
        <v>64</v>
      </c>
      <c r="E1109">
        <v>1</v>
      </c>
      <c r="F1109">
        <v>13</v>
      </c>
      <c r="G1109">
        <v>170</v>
      </c>
      <c r="H1109">
        <v>174</v>
      </c>
      <c r="I1109" t="str">
        <f>VLOOKUP(Call_Center_Data[[#This Row],[Emp ID]],Employee[],2,FALSE)</f>
        <v>Jill Simons</v>
      </c>
      <c r="J1109" t="str">
        <f>VLOOKUP(Call_Center_Data[[#This Row],[Emp ID]], Employee[], 3, FALSE)</f>
        <v>Spokane, WA</v>
      </c>
      <c r="K1109" t="str">
        <f>VLOOKUP(Call_Center_Data[[#This Row],[Emp ID]], Employee[], 4, FALSE)</f>
        <v>Jenny Rhodes</v>
      </c>
      <c r="L1109" t="str">
        <f>VLOOKUP(Call_Center_Data[[#This Row],[Call Type ID]], Call_Type[], 2, FALSE)</f>
        <v>Tech Sup</v>
      </c>
    </row>
    <row r="1110" spans="1:12" x14ac:dyDescent="0.3">
      <c r="A1110">
        <v>1109</v>
      </c>
      <c r="B1110">
        <v>3</v>
      </c>
      <c r="C1110" s="1">
        <v>45703</v>
      </c>
      <c r="D1110" s="2" t="s">
        <v>78</v>
      </c>
      <c r="E1110">
        <v>0</v>
      </c>
      <c r="F1110">
        <v>21</v>
      </c>
      <c r="G1110">
        <v>176</v>
      </c>
      <c r="H1110">
        <v>179</v>
      </c>
      <c r="I1110" t="str">
        <f>VLOOKUP(Call_Center_Data[[#This Row],[Emp ID]],Employee[],2,FALSE)</f>
        <v>Jill Saab</v>
      </c>
      <c r="J1110" t="str">
        <f>VLOOKUP(Call_Center_Data[[#This Row],[Emp ID]], Employee[], 3, FALSE)</f>
        <v>Spokane, WA</v>
      </c>
      <c r="K1110" t="str">
        <f>VLOOKUP(Call_Center_Data[[#This Row],[Emp ID]], Employee[], 4, FALSE)</f>
        <v>Timmy Gill</v>
      </c>
      <c r="L1110" t="str">
        <f>VLOOKUP(Call_Center_Data[[#This Row],[Call Type ID]], Call_Type[], 2, FALSE)</f>
        <v>Tech Sup</v>
      </c>
    </row>
    <row r="1111" spans="1:12" x14ac:dyDescent="0.3">
      <c r="A1111">
        <v>1110</v>
      </c>
      <c r="B1111">
        <v>1</v>
      </c>
      <c r="C1111" s="1">
        <v>45704</v>
      </c>
      <c r="D1111" s="2" t="s">
        <v>75</v>
      </c>
      <c r="E1111">
        <v>1</v>
      </c>
      <c r="F1111">
        <v>28</v>
      </c>
      <c r="G1111">
        <v>169</v>
      </c>
      <c r="H1111">
        <v>178</v>
      </c>
      <c r="I1111" t="str">
        <f>VLOOKUP(Call_Center_Data[[#This Row],[Emp ID]],Employee[],2,FALSE)</f>
        <v>Gina Pat</v>
      </c>
      <c r="J1111" t="str">
        <f>VLOOKUP(Call_Center_Data[[#This Row],[Emp ID]], Employee[], 3, FALSE)</f>
        <v>Spokane, WA</v>
      </c>
      <c r="K1111" t="str">
        <f>VLOOKUP(Call_Center_Data[[#This Row],[Emp ID]], Employee[], 4, FALSE)</f>
        <v>Henry Hall</v>
      </c>
      <c r="L1111" t="str">
        <f>VLOOKUP(Call_Center_Data[[#This Row],[Call Type ID]], Call_Type[], 2, FALSE)</f>
        <v>Billing</v>
      </c>
    </row>
    <row r="1112" spans="1:12" x14ac:dyDescent="0.3">
      <c r="A1112">
        <v>1111</v>
      </c>
      <c r="B1112">
        <v>2</v>
      </c>
      <c r="C1112" s="1">
        <v>45705</v>
      </c>
      <c r="D1112" s="2" t="s">
        <v>67</v>
      </c>
      <c r="E1112">
        <v>0</v>
      </c>
      <c r="F1112">
        <v>24</v>
      </c>
      <c r="G1112">
        <v>175</v>
      </c>
      <c r="H1112">
        <v>128</v>
      </c>
      <c r="I1112" t="str">
        <f>VLOOKUP(Call_Center_Data[[#This Row],[Emp ID]],Employee[],2,FALSE)</f>
        <v>Tina Pat</v>
      </c>
      <c r="J1112" t="str">
        <f>VLOOKUP(Call_Center_Data[[#This Row],[Emp ID]], Employee[], 3, FALSE)</f>
        <v>Jacksonville, WA</v>
      </c>
      <c r="K1112" t="str">
        <f>VLOOKUP(Call_Center_Data[[#This Row],[Emp ID]], Employee[], 4, FALSE)</f>
        <v>John Hall</v>
      </c>
      <c r="L1112" t="str">
        <f>VLOOKUP(Call_Center_Data[[#This Row],[Call Type ID]], Call_Type[], 2, FALSE)</f>
        <v>Sales</v>
      </c>
    </row>
    <row r="1113" spans="1:12" x14ac:dyDescent="0.3">
      <c r="A1113">
        <v>1112</v>
      </c>
      <c r="B1113">
        <v>3</v>
      </c>
      <c r="C1113" s="1">
        <v>45706</v>
      </c>
      <c r="D1113" s="2" t="s">
        <v>68</v>
      </c>
      <c r="E1113">
        <v>0</v>
      </c>
      <c r="F1113">
        <v>21</v>
      </c>
      <c r="G1113">
        <v>169</v>
      </c>
      <c r="H1113">
        <v>210</v>
      </c>
      <c r="I1113" t="str">
        <f>VLOOKUP(Call_Center_Data[[#This Row],[Emp ID]],Employee[],2,FALSE)</f>
        <v>Tina Saab</v>
      </c>
      <c r="J1113" t="str">
        <f>VLOOKUP(Call_Center_Data[[#This Row],[Emp ID]], Employee[], 3, FALSE)</f>
        <v>Spokane, WA</v>
      </c>
      <c r="K1113" t="str">
        <f>VLOOKUP(Call_Center_Data[[#This Row],[Emp ID]], Employee[], 4, FALSE)</f>
        <v>Henry Baas</v>
      </c>
      <c r="L1113" t="str">
        <f>VLOOKUP(Call_Center_Data[[#This Row],[Call Type ID]], Call_Type[], 2, FALSE)</f>
        <v>Tech Sup</v>
      </c>
    </row>
    <row r="1114" spans="1:12" x14ac:dyDescent="0.3">
      <c r="A1114">
        <v>1113</v>
      </c>
      <c r="B1114">
        <v>3</v>
      </c>
      <c r="C1114" s="1">
        <v>45707</v>
      </c>
      <c r="D1114" s="2" t="s">
        <v>72</v>
      </c>
      <c r="E1114">
        <v>1</v>
      </c>
      <c r="F1114">
        <v>9</v>
      </c>
      <c r="G1114">
        <v>163</v>
      </c>
      <c r="H1114">
        <v>130</v>
      </c>
      <c r="I1114" t="str">
        <f>VLOOKUP(Call_Center_Data[[#This Row],[Emp ID]],Employee[],2,FALSE)</f>
        <v>Ultor Pat</v>
      </c>
      <c r="J1114" t="str">
        <f>VLOOKUP(Call_Center_Data[[#This Row],[Emp ID]], Employee[], 3, FALSE)</f>
        <v>Jacksonville, WA</v>
      </c>
      <c r="K1114" t="str">
        <f>VLOOKUP(Call_Center_Data[[#This Row],[Emp ID]], Employee[], 4, FALSE)</f>
        <v>Jenny Hall</v>
      </c>
      <c r="L1114" t="str">
        <f>VLOOKUP(Call_Center_Data[[#This Row],[Call Type ID]], Call_Type[], 2, FALSE)</f>
        <v>Tech Sup</v>
      </c>
    </row>
    <row r="1115" spans="1:12" x14ac:dyDescent="0.3">
      <c r="A1115">
        <v>1114</v>
      </c>
      <c r="B1115">
        <v>3</v>
      </c>
      <c r="C1115" s="1">
        <v>45708</v>
      </c>
      <c r="D1115" s="2" t="s">
        <v>79</v>
      </c>
      <c r="E1115">
        <v>1</v>
      </c>
      <c r="F1115">
        <v>17</v>
      </c>
      <c r="G1115">
        <v>178</v>
      </c>
      <c r="H1115">
        <v>214</v>
      </c>
      <c r="I1115" t="str">
        <f>VLOOKUP(Call_Center_Data[[#This Row],[Emp ID]],Employee[],2,FALSE)</f>
        <v>Gina Simons</v>
      </c>
      <c r="J1115" t="str">
        <f>VLOOKUP(Call_Center_Data[[#This Row],[Emp ID]], Employee[], 3, FALSE)</f>
        <v>Spokane, WA</v>
      </c>
      <c r="K1115" t="str">
        <f>VLOOKUP(Call_Center_Data[[#This Row],[Emp ID]], Employee[], 4, FALSE)</f>
        <v>John Rhodes</v>
      </c>
      <c r="L1115" t="str">
        <f>VLOOKUP(Call_Center_Data[[#This Row],[Call Type ID]], Call_Type[], 2, FALSE)</f>
        <v>Tech Sup</v>
      </c>
    </row>
    <row r="1116" spans="1:12" x14ac:dyDescent="0.3">
      <c r="A1116">
        <v>1115</v>
      </c>
      <c r="B1116">
        <v>3</v>
      </c>
      <c r="C1116" s="1">
        <v>45709</v>
      </c>
      <c r="D1116" s="2" t="s">
        <v>84</v>
      </c>
      <c r="E1116">
        <v>0</v>
      </c>
      <c r="F1116">
        <v>22</v>
      </c>
      <c r="G1116">
        <v>190</v>
      </c>
      <c r="H1116">
        <v>492</v>
      </c>
      <c r="I1116" t="str">
        <f>VLOOKUP(Call_Center_Data[[#This Row],[Emp ID]],Employee[],2,FALSE)</f>
        <v>Sam John</v>
      </c>
      <c r="J1116" t="str">
        <f>VLOOKUP(Call_Center_Data[[#This Row],[Emp ID]], Employee[], 3, FALSE)</f>
        <v>Aurora, CO</v>
      </c>
      <c r="K1116" t="str">
        <f>VLOOKUP(Call_Center_Data[[#This Row],[Emp ID]], Employee[], 4, FALSE)</f>
        <v>Jenny Mack</v>
      </c>
      <c r="L1116" t="str">
        <f>VLOOKUP(Call_Center_Data[[#This Row],[Call Type ID]], Call_Type[], 2, FALSE)</f>
        <v>Tech Sup</v>
      </c>
    </row>
    <row r="1117" spans="1:12" x14ac:dyDescent="0.3">
      <c r="A1117">
        <v>1116</v>
      </c>
      <c r="B1117">
        <v>1</v>
      </c>
      <c r="C1117" s="1">
        <v>45710</v>
      </c>
      <c r="D1117" s="2" t="s">
        <v>70</v>
      </c>
      <c r="E1117">
        <v>1</v>
      </c>
      <c r="F1117">
        <v>14</v>
      </c>
      <c r="G1117">
        <v>180</v>
      </c>
      <c r="H1117">
        <v>232</v>
      </c>
      <c r="I1117" t="str">
        <f>VLOOKUP(Call_Center_Data[[#This Row],[Emp ID]],Employee[],2,FALSE)</f>
        <v>Jill Pat</v>
      </c>
      <c r="J1117" t="str">
        <f>VLOOKUP(Call_Center_Data[[#This Row],[Emp ID]], Employee[], 3, FALSE)</f>
        <v>Aurora, CO</v>
      </c>
      <c r="K1117" t="str">
        <f>VLOOKUP(Call_Center_Data[[#This Row],[Emp ID]], Employee[], 4, FALSE)</f>
        <v>Henry Rhodes</v>
      </c>
      <c r="L1117" t="str">
        <f>VLOOKUP(Call_Center_Data[[#This Row],[Call Type ID]], Call_Type[], 2, FALSE)</f>
        <v>Billing</v>
      </c>
    </row>
    <row r="1118" spans="1:12" x14ac:dyDescent="0.3">
      <c r="A1118">
        <v>1117</v>
      </c>
      <c r="B1118">
        <v>2</v>
      </c>
      <c r="C1118" s="1">
        <v>45711</v>
      </c>
      <c r="D1118" s="2" t="s">
        <v>74</v>
      </c>
      <c r="E1118">
        <v>0</v>
      </c>
      <c r="F1118">
        <v>12</v>
      </c>
      <c r="G1118">
        <v>157</v>
      </c>
      <c r="H1118">
        <v>105</v>
      </c>
      <c r="I1118" t="str">
        <f>VLOOKUP(Call_Center_Data[[#This Row],[Emp ID]],Employee[],2,FALSE)</f>
        <v>Gina John</v>
      </c>
      <c r="J1118" t="str">
        <f>VLOOKUP(Call_Center_Data[[#This Row],[Emp ID]], Employee[], 3, FALSE)</f>
        <v>Jacksonville, WA</v>
      </c>
      <c r="K1118" t="str">
        <f>VLOOKUP(Call_Center_Data[[#This Row],[Emp ID]], Employee[], 4, FALSE)</f>
        <v>Henry Gill</v>
      </c>
      <c r="L1118" t="str">
        <f>VLOOKUP(Call_Center_Data[[#This Row],[Call Type ID]], Call_Type[], 2, FALSE)</f>
        <v>Sales</v>
      </c>
    </row>
    <row r="1119" spans="1:12" x14ac:dyDescent="0.3">
      <c r="A1119">
        <v>1118</v>
      </c>
      <c r="B1119">
        <v>2</v>
      </c>
      <c r="C1119" s="1">
        <v>45712</v>
      </c>
      <c r="D1119" s="2" t="s">
        <v>74</v>
      </c>
      <c r="E1119">
        <v>1</v>
      </c>
      <c r="F1119">
        <v>13</v>
      </c>
      <c r="G1119">
        <v>135</v>
      </c>
      <c r="H1119">
        <v>68</v>
      </c>
      <c r="I1119" t="str">
        <f>VLOOKUP(Call_Center_Data[[#This Row],[Emp ID]],Employee[],2,FALSE)</f>
        <v>Gina John</v>
      </c>
      <c r="J1119" t="str">
        <f>VLOOKUP(Call_Center_Data[[#This Row],[Emp ID]], Employee[], 3, FALSE)</f>
        <v>Jacksonville, WA</v>
      </c>
      <c r="K1119" t="str">
        <f>VLOOKUP(Call_Center_Data[[#This Row],[Emp ID]], Employee[], 4, FALSE)</f>
        <v>Henry Gill</v>
      </c>
      <c r="L1119" t="str">
        <f>VLOOKUP(Call_Center_Data[[#This Row],[Call Type ID]], Call_Type[], 2, FALSE)</f>
        <v>Sales</v>
      </c>
    </row>
    <row r="1120" spans="1:12" x14ac:dyDescent="0.3">
      <c r="A1120">
        <v>1119</v>
      </c>
      <c r="B1120">
        <v>1</v>
      </c>
      <c r="C1120" s="1">
        <v>45713</v>
      </c>
      <c r="D1120" s="2" t="s">
        <v>67</v>
      </c>
      <c r="E1120">
        <v>0</v>
      </c>
      <c r="F1120">
        <v>9</v>
      </c>
      <c r="G1120">
        <v>181</v>
      </c>
      <c r="H1120">
        <v>102</v>
      </c>
      <c r="I1120" t="str">
        <f>VLOOKUP(Call_Center_Data[[#This Row],[Emp ID]],Employee[],2,FALSE)</f>
        <v>Tina Pat</v>
      </c>
      <c r="J1120" t="str">
        <f>VLOOKUP(Call_Center_Data[[#This Row],[Emp ID]], Employee[], 3, FALSE)</f>
        <v>Jacksonville, WA</v>
      </c>
      <c r="K1120" t="str">
        <f>VLOOKUP(Call_Center_Data[[#This Row],[Emp ID]], Employee[], 4, FALSE)</f>
        <v>John Hall</v>
      </c>
      <c r="L1120" t="str">
        <f>VLOOKUP(Call_Center_Data[[#This Row],[Call Type ID]], Call_Type[], 2, FALSE)</f>
        <v>Billing</v>
      </c>
    </row>
    <row r="1121" spans="1:12" x14ac:dyDescent="0.3">
      <c r="A1121">
        <v>1120</v>
      </c>
      <c r="B1121">
        <v>2</v>
      </c>
      <c r="C1121" s="1">
        <v>45714</v>
      </c>
      <c r="D1121" s="2" t="s">
        <v>83</v>
      </c>
      <c r="E1121">
        <v>1</v>
      </c>
      <c r="F1121">
        <v>10</v>
      </c>
      <c r="G1121">
        <v>128</v>
      </c>
      <c r="H1121">
        <v>116</v>
      </c>
      <c r="I1121" t="str">
        <f>VLOOKUP(Call_Center_Data[[#This Row],[Emp ID]],Employee[],2,FALSE)</f>
        <v>Ultor Simons</v>
      </c>
      <c r="J1121" t="str">
        <f>VLOOKUP(Call_Center_Data[[#This Row],[Emp ID]], Employee[], 3, FALSE)</f>
        <v>Jacksonville, WA</v>
      </c>
      <c r="K1121" t="str">
        <f>VLOOKUP(Call_Center_Data[[#This Row],[Emp ID]], Employee[], 4, FALSE)</f>
        <v>Pierce Hall</v>
      </c>
      <c r="L1121" t="str">
        <f>VLOOKUP(Call_Center_Data[[#This Row],[Call Type ID]], Call_Type[], 2, FALSE)</f>
        <v>Sales</v>
      </c>
    </row>
    <row r="1122" spans="1:12" x14ac:dyDescent="0.3">
      <c r="A1122">
        <v>1121</v>
      </c>
      <c r="B1122">
        <v>2</v>
      </c>
      <c r="C1122" s="1">
        <v>45715</v>
      </c>
      <c r="D1122" s="2" t="s">
        <v>78</v>
      </c>
      <c r="E1122">
        <v>0</v>
      </c>
      <c r="F1122">
        <v>7</v>
      </c>
      <c r="G1122">
        <v>164</v>
      </c>
      <c r="H1122">
        <v>116</v>
      </c>
      <c r="I1122" t="str">
        <f>VLOOKUP(Call_Center_Data[[#This Row],[Emp ID]],Employee[],2,FALSE)</f>
        <v>Jill Saab</v>
      </c>
      <c r="J1122" t="str">
        <f>VLOOKUP(Call_Center_Data[[#This Row],[Emp ID]], Employee[], 3, FALSE)</f>
        <v>Spokane, WA</v>
      </c>
      <c r="K1122" t="str">
        <f>VLOOKUP(Call_Center_Data[[#This Row],[Emp ID]], Employee[], 4, FALSE)</f>
        <v>Timmy Gill</v>
      </c>
      <c r="L1122" t="str">
        <f>VLOOKUP(Call_Center_Data[[#This Row],[Call Type ID]], Call_Type[], 2, FALSE)</f>
        <v>Sales</v>
      </c>
    </row>
    <row r="1123" spans="1:12" x14ac:dyDescent="0.3">
      <c r="A1123">
        <v>1122</v>
      </c>
      <c r="B1123">
        <v>2</v>
      </c>
      <c r="C1123" s="1">
        <v>45716</v>
      </c>
      <c r="D1123" s="2" t="s">
        <v>88</v>
      </c>
      <c r="E1123">
        <v>1</v>
      </c>
      <c r="F1123">
        <v>14</v>
      </c>
      <c r="G1123">
        <v>179</v>
      </c>
      <c r="H1123">
        <v>175</v>
      </c>
      <c r="I1123" t="str">
        <f>VLOOKUP(Call_Center_Data[[#This Row],[Emp ID]],Employee[],2,FALSE)</f>
        <v>Gina Gilder</v>
      </c>
      <c r="J1123" t="str">
        <f>VLOOKUP(Call_Center_Data[[#This Row],[Emp ID]], Employee[], 3, FALSE)</f>
        <v>Jacksonville, WA</v>
      </c>
      <c r="K1123" t="str">
        <f>VLOOKUP(Call_Center_Data[[#This Row],[Emp ID]], Employee[], 4, FALSE)</f>
        <v>Pierce Rhodes</v>
      </c>
      <c r="L1123" t="str">
        <f>VLOOKUP(Call_Center_Data[[#This Row],[Call Type ID]], Call_Type[], 2, FALSE)</f>
        <v>Sales</v>
      </c>
    </row>
    <row r="1124" spans="1:12" x14ac:dyDescent="0.3">
      <c r="A1124">
        <v>1123</v>
      </c>
      <c r="B1124">
        <v>3</v>
      </c>
      <c r="C1124" s="1">
        <v>45717</v>
      </c>
      <c r="D1124" s="2" t="s">
        <v>87</v>
      </c>
      <c r="E1124">
        <v>1</v>
      </c>
      <c r="F1124">
        <v>6</v>
      </c>
      <c r="G1124">
        <v>162</v>
      </c>
      <c r="H1124">
        <v>115</v>
      </c>
      <c r="I1124" t="str">
        <f>VLOOKUP(Call_Center_Data[[#This Row],[Emp ID]],Employee[],2,FALSE)</f>
        <v>Gina Saab</v>
      </c>
      <c r="J1124" t="str">
        <f>VLOOKUP(Call_Center_Data[[#This Row],[Emp ID]], Employee[], 3, FALSE)</f>
        <v>Jacksonville, WA</v>
      </c>
      <c r="K1124" t="str">
        <f>VLOOKUP(Call_Center_Data[[#This Row],[Emp ID]], Employee[], 4, FALSE)</f>
        <v>Jenny Gill</v>
      </c>
      <c r="L1124" t="str">
        <f>VLOOKUP(Call_Center_Data[[#This Row],[Call Type ID]], Call_Type[], 2, FALSE)</f>
        <v>Tech Sup</v>
      </c>
    </row>
    <row r="1125" spans="1:12" x14ac:dyDescent="0.3">
      <c r="A1125">
        <v>1124</v>
      </c>
      <c r="B1125">
        <v>1</v>
      </c>
      <c r="C1125" s="1">
        <v>45718</v>
      </c>
      <c r="D1125" s="2" t="s">
        <v>86</v>
      </c>
      <c r="E1125">
        <v>0</v>
      </c>
      <c r="F1125">
        <v>12</v>
      </c>
      <c r="G1125">
        <v>177</v>
      </c>
      <c r="H1125">
        <v>96</v>
      </c>
      <c r="I1125" t="str">
        <f>VLOOKUP(Call_Center_Data[[#This Row],[Emp ID]],Employee[],2,FALSE)</f>
        <v>Jill Gilder</v>
      </c>
      <c r="J1125" t="str">
        <f>VLOOKUP(Call_Center_Data[[#This Row],[Emp ID]], Employee[], 3, FALSE)</f>
        <v>Aurora, CO</v>
      </c>
      <c r="K1125" t="str">
        <f>VLOOKUP(Call_Center_Data[[#This Row],[Emp ID]], Employee[], 4, FALSE)</f>
        <v>Jenny Baas</v>
      </c>
      <c r="L1125" t="str">
        <f>VLOOKUP(Call_Center_Data[[#This Row],[Call Type ID]], Call_Type[], 2, FALSE)</f>
        <v>Billing</v>
      </c>
    </row>
    <row r="1126" spans="1:12" x14ac:dyDescent="0.3">
      <c r="A1126">
        <v>1125</v>
      </c>
      <c r="B1126">
        <v>2</v>
      </c>
      <c r="C1126" s="1">
        <v>45719</v>
      </c>
      <c r="D1126" s="2" t="s">
        <v>65</v>
      </c>
      <c r="E1126">
        <v>0</v>
      </c>
      <c r="F1126">
        <v>12</v>
      </c>
      <c r="G1126">
        <v>187</v>
      </c>
      <c r="H1126">
        <v>94</v>
      </c>
      <c r="I1126" t="str">
        <f>VLOOKUP(Call_Center_Data[[#This Row],[Emp ID]],Employee[],2,FALSE)</f>
        <v>Ultor John</v>
      </c>
      <c r="J1126" t="str">
        <f>VLOOKUP(Call_Center_Data[[#This Row],[Emp ID]], Employee[], 3, FALSE)</f>
        <v>Spokane, WA</v>
      </c>
      <c r="K1126" t="str">
        <f>VLOOKUP(Call_Center_Data[[#This Row],[Emp ID]], Employee[], 4, FALSE)</f>
        <v>John Mack</v>
      </c>
      <c r="L1126" t="str">
        <f>VLOOKUP(Call_Center_Data[[#This Row],[Call Type ID]], Call_Type[], 2, FALSE)</f>
        <v>Sales</v>
      </c>
    </row>
    <row r="1127" spans="1:12" x14ac:dyDescent="0.3">
      <c r="A1127">
        <v>1126</v>
      </c>
      <c r="B1127">
        <v>1</v>
      </c>
      <c r="C1127" s="1">
        <v>45720</v>
      </c>
      <c r="D1127" s="2" t="s">
        <v>65</v>
      </c>
      <c r="E1127">
        <v>0</v>
      </c>
      <c r="F1127">
        <v>7</v>
      </c>
      <c r="G1127">
        <v>166</v>
      </c>
      <c r="H1127">
        <v>84</v>
      </c>
      <c r="I1127" t="str">
        <f>VLOOKUP(Call_Center_Data[[#This Row],[Emp ID]],Employee[],2,FALSE)</f>
        <v>Ultor John</v>
      </c>
      <c r="J1127" t="str">
        <f>VLOOKUP(Call_Center_Data[[#This Row],[Emp ID]], Employee[], 3, FALSE)</f>
        <v>Spokane, WA</v>
      </c>
      <c r="K1127" t="str">
        <f>VLOOKUP(Call_Center_Data[[#This Row],[Emp ID]], Employee[], 4, FALSE)</f>
        <v>John Mack</v>
      </c>
      <c r="L1127" t="str">
        <f>VLOOKUP(Call_Center_Data[[#This Row],[Call Type ID]], Call_Type[], 2, FALSE)</f>
        <v>Billing</v>
      </c>
    </row>
    <row r="1128" spans="1:12" x14ac:dyDescent="0.3">
      <c r="A1128">
        <v>1127</v>
      </c>
      <c r="B1128">
        <v>1</v>
      </c>
      <c r="C1128" s="1">
        <v>45721</v>
      </c>
      <c r="D1128" s="2" t="s">
        <v>68</v>
      </c>
      <c r="E1128">
        <v>1</v>
      </c>
      <c r="F1128">
        <v>26</v>
      </c>
      <c r="G1128">
        <v>160</v>
      </c>
      <c r="H1128">
        <v>211</v>
      </c>
      <c r="I1128" t="str">
        <f>VLOOKUP(Call_Center_Data[[#This Row],[Emp ID]],Employee[],2,FALSE)</f>
        <v>Tina Saab</v>
      </c>
      <c r="J1128" t="str">
        <f>VLOOKUP(Call_Center_Data[[#This Row],[Emp ID]], Employee[], 3, FALSE)</f>
        <v>Spokane, WA</v>
      </c>
      <c r="K1128" t="str">
        <f>VLOOKUP(Call_Center_Data[[#This Row],[Emp ID]], Employee[], 4, FALSE)</f>
        <v>Henry Baas</v>
      </c>
      <c r="L1128" t="str">
        <f>VLOOKUP(Call_Center_Data[[#This Row],[Call Type ID]], Call_Type[], 2, FALSE)</f>
        <v>Billing</v>
      </c>
    </row>
    <row r="1129" spans="1:12" x14ac:dyDescent="0.3">
      <c r="A1129">
        <v>1128</v>
      </c>
      <c r="B1129">
        <v>2</v>
      </c>
      <c r="C1129" s="1">
        <v>45722</v>
      </c>
      <c r="D1129" s="2" t="s">
        <v>75</v>
      </c>
      <c r="E1129">
        <v>0</v>
      </c>
      <c r="F1129">
        <v>6</v>
      </c>
      <c r="G1129">
        <v>124</v>
      </c>
      <c r="H1129">
        <v>232</v>
      </c>
      <c r="I1129" t="str">
        <f>VLOOKUP(Call_Center_Data[[#This Row],[Emp ID]],Employee[],2,FALSE)</f>
        <v>Gina Pat</v>
      </c>
      <c r="J1129" t="str">
        <f>VLOOKUP(Call_Center_Data[[#This Row],[Emp ID]], Employee[], 3, FALSE)</f>
        <v>Spokane, WA</v>
      </c>
      <c r="K1129" t="str">
        <f>VLOOKUP(Call_Center_Data[[#This Row],[Emp ID]], Employee[], 4, FALSE)</f>
        <v>Henry Hall</v>
      </c>
      <c r="L1129" t="str">
        <f>VLOOKUP(Call_Center_Data[[#This Row],[Call Type ID]], Call_Type[], 2, FALSE)</f>
        <v>Sales</v>
      </c>
    </row>
    <row r="1130" spans="1:12" x14ac:dyDescent="0.3">
      <c r="A1130">
        <v>1129</v>
      </c>
      <c r="B1130">
        <v>2</v>
      </c>
      <c r="C1130" s="1">
        <v>45723</v>
      </c>
      <c r="D1130" s="2" t="s">
        <v>81</v>
      </c>
      <c r="E1130">
        <v>1</v>
      </c>
      <c r="F1130">
        <v>5</v>
      </c>
      <c r="G1130">
        <v>133</v>
      </c>
      <c r="H1130">
        <v>65</v>
      </c>
      <c r="I1130" t="str">
        <f>VLOOKUP(Call_Center_Data[[#This Row],[Emp ID]],Employee[],2,FALSE)</f>
        <v>Sam Simons</v>
      </c>
      <c r="J1130" t="str">
        <f>VLOOKUP(Call_Center_Data[[#This Row],[Emp ID]], Employee[], 3, FALSE)</f>
        <v>Jacksonville, WA</v>
      </c>
      <c r="K1130" t="str">
        <f>VLOOKUP(Call_Center_Data[[#This Row],[Emp ID]], Employee[], 4, FALSE)</f>
        <v>John Baas</v>
      </c>
      <c r="L1130" t="str">
        <f>VLOOKUP(Call_Center_Data[[#This Row],[Call Type ID]], Call_Type[], 2, FALSE)</f>
        <v>Sales</v>
      </c>
    </row>
    <row r="1131" spans="1:12" x14ac:dyDescent="0.3">
      <c r="A1131">
        <v>1130</v>
      </c>
      <c r="B1131">
        <v>3</v>
      </c>
      <c r="C1131" s="1">
        <v>45724</v>
      </c>
      <c r="D1131" s="2" t="s">
        <v>80</v>
      </c>
      <c r="E1131">
        <v>1</v>
      </c>
      <c r="F1131">
        <v>19</v>
      </c>
      <c r="G1131">
        <v>135</v>
      </c>
      <c r="H1131">
        <v>290</v>
      </c>
      <c r="I1131" t="str">
        <f>VLOOKUP(Call_Center_Data[[#This Row],[Emp ID]],Employee[],2,FALSE)</f>
        <v>Tina Simons</v>
      </c>
      <c r="J1131" t="str">
        <f>VLOOKUP(Call_Center_Data[[#This Row],[Emp ID]], Employee[], 3, FALSE)</f>
        <v>Aurora, CO</v>
      </c>
      <c r="K1131" t="str">
        <f>VLOOKUP(Call_Center_Data[[#This Row],[Emp ID]], Employee[], 4, FALSE)</f>
        <v>Pierce Gill</v>
      </c>
      <c r="L1131" t="str">
        <f>VLOOKUP(Call_Center_Data[[#This Row],[Call Type ID]], Call_Type[], 2, FALSE)</f>
        <v>Tech Sup</v>
      </c>
    </row>
    <row r="1132" spans="1:12" x14ac:dyDescent="0.3">
      <c r="A1132">
        <v>1131</v>
      </c>
      <c r="B1132">
        <v>3</v>
      </c>
      <c r="C1132" s="1">
        <v>45725</v>
      </c>
      <c r="D1132" s="2" t="s">
        <v>66</v>
      </c>
      <c r="E1132">
        <v>1</v>
      </c>
      <c r="F1132">
        <v>15</v>
      </c>
      <c r="G1132">
        <v>160</v>
      </c>
      <c r="H1132">
        <v>117</v>
      </c>
      <c r="I1132" t="str">
        <f>VLOOKUP(Call_Center_Data[[#This Row],[Emp ID]],Employee[],2,FALSE)</f>
        <v>Tina John</v>
      </c>
      <c r="J1132" t="str">
        <f>VLOOKUP(Call_Center_Data[[#This Row],[Emp ID]], Employee[], 3, FALSE)</f>
        <v>Aurora, CO</v>
      </c>
      <c r="K1132" t="str">
        <f>VLOOKUP(Call_Center_Data[[#This Row],[Emp ID]], Employee[], 4, FALSE)</f>
        <v>Timmy Rhodes</v>
      </c>
      <c r="L1132" t="str">
        <f>VLOOKUP(Call_Center_Data[[#This Row],[Call Type ID]], Call_Type[], 2, FALSE)</f>
        <v>Tech Sup</v>
      </c>
    </row>
    <row r="1133" spans="1:12" x14ac:dyDescent="0.3">
      <c r="A1133">
        <v>1132</v>
      </c>
      <c r="B1133">
        <v>3</v>
      </c>
      <c r="C1133" s="1">
        <v>45726</v>
      </c>
      <c r="D1133" s="2" t="s">
        <v>84</v>
      </c>
      <c r="E1133">
        <v>1</v>
      </c>
      <c r="F1133">
        <v>18</v>
      </c>
      <c r="G1133">
        <v>181</v>
      </c>
      <c r="H1133">
        <v>128</v>
      </c>
      <c r="I1133" t="str">
        <f>VLOOKUP(Call_Center_Data[[#This Row],[Emp ID]],Employee[],2,FALSE)</f>
        <v>Sam John</v>
      </c>
      <c r="J1133" t="str">
        <f>VLOOKUP(Call_Center_Data[[#This Row],[Emp ID]], Employee[], 3, FALSE)</f>
        <v>Aurora, CO</v>
      </c>
      <c r="K1133" t="str">
        <f>VLOOKUP(Call_Center_Data[[#This Row],[Emp ID]], Employee[], 4, FALSE)</f>
        <v>Jenny Mack</v>
      </c>
      <c r="L1133" t="str">
        <f>VLOOKUP(Call_Center_Data[[#This Row],[Call Type ID]], Call_Type[], 2, FALSE)</f>
        <v>Tech Sup</v>
      </c>
    </row>
    <row r="1134" spans="1:12" x14ac:dyDescent="0.3">
      <c r="A1134">
        <v>1133</v>
      </c>
      <c r="B1134">
        <v>1</v>
      </c>
      <c r="C1134" s="1">
        <v>45727</v>
      </c>
      <c r="D1134" s="2" t="s">
        <v>87</v>
      </c>
      <c r="E1134">
        <v>1</v>
      </c>
      <c r="F1134">
        <v>19</v>
      </c>
      <c r="G1134">
        <v>163</v>
      </c>
      <c r="H1134">
        <v>273</v>
      </c>
      <c r="I1134" t="str">
        <f>VLOOKUP(Call_Center_Data[[#This Row],[Emp ID]],Employee[],2,FALSE)</f>
        <v>Gina Saab</v>
      </c>
      <c r="J1134" t="str">
        <f>VLOOKUP(Call_Center_Data[[#This Row],[Emp ID]], Employee[], 3, FALSE)</f>
        <v>Jacksonville, WA</v>
      </c>
      <c r="K1134" t="str">
        <f>VLOOKUP(Call_Center_Data[[#This Row],[Emp ID]], Employee[], 4, FALSE)</f>
        <v>Jenny Gill</v>
      </c>
      <c r="L1134" t="str">
        <f>VLOOKUP(Call_Center_Data[[#This Row],[Call Type ID]], Call_Type[], 2, FALSE)</f>
        <v>Billing</v>
      </c>
    </row>
    <row r="1135" spans="1:12" x14ac:dyDescent="0.3">
      <c r="A1135">
        <v>1134</v>
      </c>
      <c r="B1135">
        <v>1</v>
      </c>
      <c r="C1135" s="1">
        <v>45728</v>
      </c>
      <c r="D1135" s="2" t="s">
        <v>71</v>
      </c>
      <c r="E1135">
        <v>0</v>
      </c>
      <c r="F1135">
        <v>13</v>
      </c>
      <c r="G1135">
        <v>162</v>
      </c>
      <c r="H1135">
        <v>208</v>
      </c>
      <c r="I1135" t="str">
        <f>VLOOKUP(Call_Center_Data[[#This Row],[Emp ID]],Employee[],2,FALSE)</f>
        <v>Sam Pat</v>
      </c>
      <c r="J1135" t="str">
        <f>VLOOKUP(Call_Center_Data[[#This Row],[Emp ID]], Employee[], 3, FALSE)</f>
        <v>Aurora, CO</v>
      </c>
      <c r="K1135" t="str">
        <f>VLOOKUP(Call_Center_Data[[#This Row],[Emp ID]], Employee[], 4, FALSE)</f>
        <v>Henry Mack</v>
      </c>
      <c r="L1135" t="str">
        <f>VLOOKUP(Call_Center_Data[[#This Row],[Call Type ID]], Call_Type[], 2, FALSE)</f>
        <v>Billing</v>
      </c>
    </row>
    <row r="1136" spans="1:12" x14ac:dyDescent="0.3">
      <c r="A1136">
        <v>1135</v>
      </c>
      <c r="B1136">
        <v>3</v>
      </c>
      <c r="C1136" s="1">
        <v>45729</v>
      </c>
      <c r="D1136" s="2" t="s">
        <v>83</v>
      </c>
      <c r="E1136">
        <v>1</v>
      </c>
      <c r="F1136">
        <v>10</v>
      </c>
      <c r="G1136">
        <v>149</v>
      </c>
      <c r="H1136">
        <v>102</v>
      </c>
      <c r="I1136" t="str">
        <f>VLOOKUP(Call_Center_Data[[#This Row],[Emp ID]],Employee[],2,FALSE)</f>
        <v>Ultor Simons</v>
      </c>
      <c r="J1136" t="str">
        <f>VLOOKUP(Call_Center_Data[[#This Row],[Emp ID]], Employee[], 3, FALSE)</f>
        <v>Jacksonville, WA</v>
      </c>
      <c r="K1136" t="str">
        <f>VLOOKUP(Call_Center_Data[[#This Row],[Emp ID]], Employee[], 4, FALSE)</f>
        <v>Pierce Hall</v>
      </c>
      <c r="L1136" t="str">
        <f>VLOOKUP(Call_Center_Data[[#This Row],[Call Type ID]], Call_Type[], 2, FALSE)</f>
        <v>Tech Sup</v>
      </c>
    </row>
    <row r="1137" spans="1:12" x14ac:dyDescent="0.3">
      <c r="A1137">
        <v>1136</v>
      </c>
      <c r="B1137">
        <v>1</v>
      </c>
      <c r="C1137" s="1">
        <v>45730</v>
      </c>
      <c r="D1137" s="2" t="s">
        <v>80</v>
      </c>
      <c r="E1137">
        <v>0</v>
      </c>
      <c r="F1137">
        <v>10</v>
      </c>
      <c r="G1137">
        <v>161</v>
      </c>
      <c r="H1137">
        <v>174</v>
      </c>
      <c r="I1137" t="str">
        <f>VLOOKUP(Call_Center_Data[[#This Row],[Emp ID]],Employee[],2,FALSE)</f>
        <v>Tina Simons</v>
      </c>
      <c r="J1137" t="str">
        <f>VLOOKUP(Call_Center_Data[[#This Row],[Emp ID]], Employee[], 3, FALSE)</f>
        <v>Aurora, CO</v>
      </c>
      <c r="K1137" t="str">
        <f>VLOOKUP(Call_Center_Data[[#This Row],[Emp ID]], Employee[], 4, FALSE)</f>
        <v>Pierce Gill</v>
      </c>
      <c r="L1137" t="str">
        <f>VLOOKUP(Call_Center_Data[[#This Row],[Call Type ID]], Call_Type[], 2, FALSE)</f>
        <v>Billing</v>
      </c>
    </row>
    <row r="1138" spans="1:12" x14ac:dyDescent="0.3">
      <c r="A1138">
        <v>1137</v>
      </c>
      <c r="B1138">
        <v>3</v>
      </c>
      <c r="C1138" s="1">
        <v>45731</v>
      </c>
      <c r="D1138" s="2" t="s">
        <v>86</v>
      </c>
      <c r="E1138">
        <v>1</v>
      </c>
      <c r="F1138">
        <v>3</v>
      </c>
      <c r="G1138">
        <v>161</v>
      </c>
      <c r="H1138">
        <v>115</v>
      </c>
      <c r="I1138" t="str">
        <f>VLOOKUP(Call_Center_Data[[#This Row],[Emp ID]],Employee[],2,FALSE)</f>
        <v>Jill Gilder</v>
      </c>
      <c r="J1138" t="str">
        <f>VLOOKUP(Call_Center_Data[[#This Row],[Emp ID]], Employee[], 3, FALSE)</f>
        <v>Aurora, CO</v>
      </c>
      <c r="K1138" t="str">
        <f>VLOOKUP(Call_Center_Data[[#This Row],[Emp ID]], Employee[], 4, FALSE)</f>
        <v>Jenny Baas</v>
      </c>
      <c r="L1138" t="str">
        <f>VLOOKUP(Call_Center_Data[[#This Row],[Call Type ID]], Call_Type[], 2, FALSE)</f>
        <v>Tech Sup</v>
      </c>
    </row>
    <row r="1139" spans="1:12" x14ac:dyDescent="0.3">
      <c r="A1139">
        <v>1138</v>
      </c>
      <c r="B1139">
        <v>2</v>
      </c>
      <c r="C1139" s="1">
        <v>45732</v>
      </c>
      <c r="D1139" s="2" t="s">
        <v>85</v>
      </c>
      <c r="E1139">
        <v>0</v>
      </c>
      <c r="F1139">
        <v>19</v>
      </c>
      <c r="G1139">
        <v>147</v>
      </c>
      <c r="H1139">
        <v>464</v>
      </c>
      <c r="I1139" t="str">
        <f>VLOOKUP(Call_Center_Data[[#This Row],[Emp ID]],Employee[],2,FALSE)</f>
        <v>Tina Gilder</v>
      </c>
      <c r="J1139" t="str">
        <f>VLOOKUP(Call_Center_Data[[#This Row],[Emp ID]], Employee[], 3, FALSE)</f>
        <v>Spokane, WA</v>
      </c>
      <c r="K1139" t="str">
        <f>VLOOKUP(Call_Center_Data[[#This Row],[Emp ID]], Employee[], 4, FALSE)</f>
        <v>Timmy Baas</v>
      </c>
      <c r="L1139" t="str">
        <f>VLOOKUP(Call_Center_Data[[#This Row],[Call Type ID]], Call_Type[], 2, FALSE)</f>
        <v>Sales</v>
      </c>
    </row>
    <row r="1140" spans="1:12" x14ac:dyDescent="0.3">
      <c r="A1140">
        <v>1139</v>
      </c>
      <c r="B1140">
        <v>1</v>
      </c>
      <c r="C1140" s="1">
        <v>45733</v>
      </c>
      <c r="D1140" s="2" t="s">
        <v>71</v>
      </c>
      <c r="E1140">
        <v>1</v>
      </c>
      <c r="F1140">
        <v>8</v>
      </c>
      <c r="G1140">
        <v>120</v>
      </c>
      <c r="H1140">
        <v>46</v>
      </c>
      <c r="I1140" t="str">
        <f>VLOOKUP(Call_Center_Data[[#This Row],[Emp ID]],Employee[],2,FALSE)</f>
        <v>Sam Pat</v>
      </c>
      <c r="J1140" t="str">
        <f>VLOOKUP(Call_Center_Data[[#This Row],[Emp ID]], Employee[], 3, FALSE)</f>
        <v>Aurora, CO</v>
      </c>
      <c r="K1140" t="str">
        <f>VLOOKUP(Call_Center_Data[[#This Row],[Emp ID]], Employee[], 4, FALSE)</f>
        <v>Henry Mack</v>
      </c>
      <c r="L1140" t="str">
        <f>VLOOKUP(Call_Center_Data[[#This Row],[Call Type ID]], Call_Type[], 2, FALSE)</f>
        <v>Billing</v>
      </c>
    </row>
    <row r="1141" spans="1:12" x14ac:dyDescent="0.3">
      <c r="A1141">
        <v>1140</v>
      </c>
      <c r="B1141">
        <v>3</v>
      </c>
      <c r="C1141" s="1">
        <v>45734</v>
      </c>
      <c r="D1141" s="2" t="s">
        <v>73</v>
      </c>
      <c r="E1141">
        <v>0</v>
      </c>
      <c r="F1141">
        <v>13</v>
      </c>
      <c r="G1141">
        <v>155</v>
      </c>
      <c r="H1141">
        <v>174</v>
      </c>
      <c r="I1141" t="str">
        <f>VLOOKUP(Call_Center_Data[[#This Row],[Emp ID]],Employee[],2,FALSE)</f>
        <v>Jill John</v>
      </c>
      <c r="J1141" t="str">
        <f>VLOOKUP(Call_Center_Data[[#This Row],[Emp ID]], Employee[], 3, FALSE)</f>
        <v>Spokane, WA</v>
      </c>
      <c r="K1141" t="str">
        <f>VLOOKUP(Call_Center_Data[[#This Row],[Emp ID]], Employee[], 4, FALSE)</f>
        <v>John Gill</v>
      </c>
      <c r="L1141" t="str">
        <f>VLOOKUP(Call_Center_Data[[#This Row],[Call Type ID]], Call_Type[], 2, FALSE)</f>
        <v>Tech Sup</v>
      </c>
    </row>
    <row r="1142" spans="1:12" x14ac:dyDescent="0.3">
      <c r="A1142">
        <v>1141</v>
      </c>
      <c r="B1142">
        <v>2</v>
      </c>
      <c r="C1142" s="1">
        <v>45735</v>
      </c>
      <c r="D1142" s="2" t="s">
        <v>67</v>
      </c>
      <c r="E1142">
        <v>0</v>
      </c>
      <c r="F1142">
        <v>15</v>
      </c>
      <c r="G1142">
        <v>180</v>
      </c>
      <c r="H1142">
        <v>210</v>
      </c>
      <c r="I1142" t="str">
        <f>VLOOKUP(Call_Center_Data[[#This Row],[Emp ID]],Employee[],2,FALSE)</f>
        <v>Tina Pat</v>
      </c>
      <c r="J1142" t="str">
        <f>VLOOKUP(Call_Center_Data[[#This Row],[Emp ID]], Employee[], 3, FALSE)</f>
        <v>Jacksonville, WA</v>
      </c>
      <c r="K1142" t="str">
        <f>VLOOKUP(Call_Center_Data[[#This Row],[Emp ID]], Employee[], 4, FALSE)</f>
        <v>John Hall</v>
      </c>
      <c r="L1142" t="str">
        <f>VLOOKUP(Call_Center_Data[[#This Row],[Call Type ID]], Call_Type[], 2, FALSE)</f>
        <v>Sales</v>
      </c>
    </row>
    <row r="1143" spans="1:12" x14ac:dyDescent="0.3">
      <c r="A1143">
        <v>1142</v>
      </c>
      <c r="B1143">
        <v>2</v>
      </c>
      <c r="C1143" s="1">
        <v>45736</v>
      </c>
      <c r="D1143" s="2" t="s">
        <v>77</v>
      </c>
      <c r="E1143">
        <v>0</v>
      </c>
      <c r="F1143">
        <v>13</v>
      </c>
      <c r="G1143">
        <v>175</v>
      </c>
      <c r="H1143">
        <v>118</v>
      </c>
      <c r="I1143" t="str">
        <f>VLOOKUP(Call_Center_Data[[#This Row],[Emp ID]],Employee[],2,FALSE)</f>
        <v>Sam Saab</v>
      </c>
      <c r="J1143" t="str">
        <f>VLOOKUP(Call_Center_Data[[#This Row],[Emp ID]], Employee[], 3, FALSE)</f>
        <v>Aurora, CO</v>
      </c>
      <c r="K1143" t="str">
        <f>VLOOKUP(Call_Center_Data[[#This Row],[Emp ID]], Employee[], 4, FALSE)</f>
        <v>Timmy Mack</v>
      </c>
      <c r="L1143" t="str">
        <f>VLOOKUP(Call_Center_Data[[#This Row],[Call Type ID]], Call_Type[], 2, FALSE)</f>
        <v>Sales</v>
      </c>
    </row>
    <row r="1144" spans="1:12" x14ac:dyDescent="0.3">
      <c r="A1144">
        <v>1143</v>
      </c>
      <c r="B1144">
        <v>1</v>
      </c>
      <c r="C1144" s="1">
        <v>45737</v>
      </c>
      <c r="D1144" s="2" t="s">
        <v>79</v>
      </c>
      <c r="E1144">
        <v>0</v>
      </c>
      <c r="F1144">
        <v>7</v>
      </c>
      <c r="G1144">
        <v>171</v>
      </c>
      <c r="H1144">
        <v>100</v>
      </c>
      <c r="I1144" t="str">
        <f>VLOOKUP(Call_Center_Data[[#This Row],[Emp ID]],Employee[],2,FALSE)</f>
        <v>Gina Simons</v>
      </c>
      <c r="J1144" t="str">
        <f>VLOOKUP(Call_Center_Data[[#This Row],[Emp ID]], Employee[], 3, FALSE)</f>
        <v>Spokane, WA</v>
      </c>
      <c r="K1144" t="str">
        <f>VLOOKUP(Call_Center_Data[[#This Row],[Emp ID]], Employee[], 4, FALSE)</f>
        <v>John Rhodes</v>
      </c>
      <c r="L1144" t="str">
        <f>VLOOKUP(Call_Center_Data[[#This Row],[Call Type ID]], Call_Type[], 2, FALSE)</f>
        <v>Billing</v>
      </c>
    </row>
    <row r="1145" spans="1:12" x14ac:dyDescent="0.3">
      <c r="A1145">
        <v>1144</v>
      </c>
      <c r="B1145">
        <v>3</v>
      </c>
      <c r="C1145" s="1">
        <v>45738</v>
      </c>
      <c r="D1145" s="2" t="s">
        <v>84</v>
      </c>
      <c r="E1145">
        <v>1</v>
      </c>
      <c r="F1145">
        <v>23</v>
      </c>
      <c r="G1145">
        <v>175</v>
      </c>
      <c r="H1145">
        <v>154</v>
      </c>
      <c r="I1145" t="str">
        <f>VLOOKUP(Call_Center_Data[[#This Row],[Emp ID]],Employee[],2,FALSE)</f>
        <v>Sam John</v>
      </c>
      <c r="J1145" t="str">
        <f>VLOOKUP(Call_Center_Data[[#This Row],[Emp ID]], Employee[], 3, FALSE)</f>
        <v>Aurora, CO</v>
      </c>
      <c r="K1145" t="str">
        <f>VLOOKUP(Call_Center_Data[[#This Row],[Emp ID]], Employee[], 4, FALSE)</f>
        <v>Jenny Mack</v>
      </c>
      <c r="L1145" t="str">
        <f>VLOOKUP(Call_Center_Data[[#This Row],[Call Type ID]], Call_Type[], 2, FALSE)</f>
        <v>Tech Sup</v>
      </c>
    </row>
    <row r="1146" spans="1:12" x14ac:dyDescent="0.3">
      <c r="A1146">
        <v>1145</v>
      </c>
      <c r="B1146">
        <v>2</v>
      </c>
      <c r="C1146" s="1">
        <v>45739</v>
      </c>
      <c r="D1146" s="2" t="s">
        <v>74</v>
      </c>
      <c r="E1146">
        <v>0</v>
      </c>
      <c r="F1146">
        <v>24</v>
      </c>
      <c r="G1146">
        <v>163</v>
      </c>
      <c r="H1146">
        <v>304</v>
      </c>
      <c r="I1146" t="str">
        <f>VLOOKUP(Call_Center_Data[[#This Row],[Emp ID]],Employee[],2,FALSE)</f>
        <v>Gina John</v>
      </c>
      <c r="J1146" t="str">
        <f>VLOOKUP(Call_Center_Data[[#This Row],[Emp ID]], Employee[], 3, FALSE)</f>
        <v>Jacksonville, WA</v>
      </c>
      <c r="K1146" t="str">
        <f>VLOOKUP(Call_Center_Data[[#This Row],[Emp ID]], Employee[], 4, FALSE)</f>
        <v>Henry Gill</v>
      </c>
      <c r="L1146" t="str">
        <f>VLOOKUP(Call_Center_Data[[#This Row],[Call Type ID]], Call_Type[], 2, FALSE)</f>
        <v>Sales</v>
      </c>
    </row>
    <row r="1147" spans="1:12" x14ac:dyDescent="0.3">
      <c r="A1147">
        <v>1146</v>
      </c>
      <c r="B1147">
        <v>1</v>
      </c>
      <c r="C1147" s="1">
        <v>45740</v>
      </c>
      <c r="D1147" s="2" t="s">
        <v>81</v>
      </c>
      <c r="E1147">
        <v>0</v>
      </c>
      <c r="F1147">
        <v>5</v>
      </c>
      <c r="G1147">
        <v>166</v>
      </c>
      <c r="H1147">
        <v>51</v>
      </c>
      <c r="I1147" t="str">
        <f>VLOOKUP(Call_Center_Data[[#This Row],[Emp ID]],Employee[],2,FALSE)</f>
        <v>Sam Simons</v>
      </c>
      <c r="J1147" t="str">
        <f>VLOOKUP(Call_Center_Data[[#This Row],[Emp ID]], Employee[], 3, FALSE)</f>
        <v>Jacksonville, WA</v>
      </c>
      <c r="K1147" t="str">
        <f>VLOOKUP(Call_Center_Data[[#This Row],[Emp ID]], Employee[], 4, FALSE)</f>
        <v>John Baas</v>
      </c>
      <c r="L1147" t="str">
        <f>VLOOKUP(Call_Center_Data[[#This Row],[Call Type ID]], Call_Type[], 2, FALSE)</f>
        <v>Billing</v>
      </c>
    </row>
    <row r="1148" spans="1:12" x14ac:dyDescent="0.3">
      <c r="A1148">
        <v>1147</v>
      </c>
      <c r="B1148">
        <v>2</v>
      </c>
      <c r="C1148" s="1">
        <v>45741</v>
      </c>
      <c r="D1148" s="2" t="s">
        <v>71</v>
      </c>
      <c r="E1148">
        <v>1</v>
      </c>
      <c r="F1148">
        <v>11</v>
      </c>
      <c r="G1148">
        <v>172</v>
      </c>
      <c r="H1148">
        <v>156</v>
      </c>
      <c r="I1148" t="str">
        <f>VLOOKUP(Call_Center_Data[[#This Row],[Emp ID]],Employee[],2,FALSE)</f>
        <v>Sam Pat</v>
      </c>
      <c r="J1148" t="str">
        <f>VLOOKUP(Call_Center_Data[[#This Row],[Emp ID]], Employee[], 3, FALSE)</f>
        <v>Aurora, CO</v>
      </c>
      <c r="K1148" t="str">
        <f>VLOOKUP(Call_Center_Data[[#This Row],[Emp ID]], Employee[], 4, FALSE)</f>
        <v>Henry Mack</v>
      </c>
      <c r="L1148" t="str">
        <f>VLOOKUP(Call_Center_Data[[#This Row],[Call Type ID]], Call_Type[], 2, FALSE)</f>
        <v>Sales</v>
      </c>
    </row>
    <row r="1149" spans="1:12" x14ac:dyDescent="0.3">
      <c r="A1149">
        <v>1148</v>
      </c>
      <c r="B1149">
        <v>2</v>
      </c>
      <c r="C1149" s="1">
        <v>45742</v>
      </c>
      <c r="D1149" s="2" t="s">
        <v>65</v>
      </c>
      <c r="E1149">
        <v>0</v>
      </c>
      <c r="F1149">
        <v>14</v>
      </c>
      <c r="G1149">
        <v>174</v>
      </c>
      <c r="H1149">
        <v>221</v>
      </c>
      <c r="I1149" t="str">
        <f>VLOOKUP(Call_Center_Data[[#This Row],[Emp ID]],Employee[],2,FALSE)</f>
        <v>Ultor John</v>
      </c>
      <c r="J1149" t="str">
        <f>VLOOKUP(Call_Center_Data[[#This Row],[Emp ID]], Employee[], 3, FALSE)</f>
        <v>Spokane, WA</v>
      </c>
      <c r="K1149" t="str">
        <f>VLOOKUP(Call_Center_Data[[#This Row],[Emp ID]], Employee[], 4, FALSE)</f>
        <v>John Mack</v>
      </c>
      <c r="L1149" t="str">
        <f>VLOOKUP(Call_Center_Data[[#This Row],[Call Type ID]], Call_Type[], 2, FALSE)</f>
        <v>Sales</v>
      </c>
    </row>
    <row r="1150" spans="1:12" x14ac:dyDescent="0.3">
      <c r="A1150">
        <v>1149</v>
      </c>
      <c r="B1150">
        <v>2</v>
      </c>
      <c r="C1150" s="1">
        <v>45743</v>
      </c>
      <c r="D1150" s="2" t="s">
        <v>77</v>
      </c>
      <c r="E1150">
        <v>0</v>
      </c>
      <c r="F1150">
        <v>5</v>
      </c>
      <c r="G1150">
        <v>168</v>
      </c>
      <c r="H1150">
        <v>64</v>
      </c>
      <c r="I1150" t="str">
        <f>VLOOKUP(Call_Center_Data[[#This Row],[Emp ID]],Employee[],2,FALSE)</f>
        <v>Sam Saab</v>
      </c>
      <c r="J1150" t="str">
        <f>VLOOKUP(Call_Center_Data[[#This Row],[Emp ID]], Employee[], 3, FALSE)</f>
        <v>Aurora, CO</v>
      </c>
      <c r="K1150" t="str">
        <f>VLOOKUP(Call_Center_Data[[#This Row],[Emp ID]], Employee[], 4, FALSE)</f>
        <v>Timmy Mack</v>
      </c>
      <c r="L1150" t="str">
        <f>VLOOKUP(Call_Center_Data[[#This Row],[Call Type ID]], Call_Type[], 2, FALSE)</f>
        <v>Sales</v>
      </c>
    </row>
    <row r="1151" spans="1:12" x14ac:dyDescent="0.3">
      <c r="A1151">
        <v>1150</v>
      </c>
      <c r="B1151">
        <v>3</v>
      </c>
      <c r="C1151" s="1">
        <v>45744</v>
      </c>
      <c r="D1151" s="2" t="s">
        <v>78</v>
      </c>
      <c r="E1151">
        <v>1</v>
      </c>
      <c r="F1151">
        <v>10</v>
      </c>
      <c r="G1151">
        <v>153</v>
      </c>
      <c r="H1151">
        <v>204</v>
      </c>
      <c r="I1151" t="str">
        <f>VLOOKUP(Call_Center_Data[[#This Row],[Emp ID]],Employee[],2,FALSE)</f>
        <v>Jill Saab</v>
      </c>
      <c r="J1151" t="str">
        <f>VLOOKUP(Call_Center_Data[[#This Row],[Emp ID]], Employee[], 3, FALSE)</f>
        <v>Spokane, WA</v>
      </c>
      <c r="K1151" t="str">
        <f>VLOOKUP(Call_Center_Data[[#This Row],[Emp ID]], Employee[], 4, FALSE)</f>
        <v>Timmy Gill</v>
      </c>
      <c r="L1151" t="str">
        <f>VLOOKUP(Call_Center_Data[[#This Row],[Call Type ID]], Call_Type[], 2, FALSE)</f>
        <v>Tech Sup</v>
      </c>
    </row>
    <row r="1152" spans="1:12" x14ac:dyDescent="0.3">
      <c r="A1152">
        <v>1151</v>
      </c>
      <c r="B1152">
        <v>3</v>
      </c>
      <c r="C1152" s="1">
        <v>45745</v>
      </c>
      <c r="D1152" s="2" t="s">
        <v>88</v>
      </c>
      <c r="E1152">
        <v>0</v>
      </c>
      <c r="F1152">
        <v>11</v>
      </c>
      <c r="G1152">
        <v>170</v>
      </c>
      <c r="H1152">
        <v>109</v>
      </c>
      <c r="I1152" t="str">
        <f>VLOOKUP(Call_Center_Data[[#This Row],[Emp ID]],Employee[],2,FALSE)</f>
        <v>Gina Gilder</v>
      </c>
      <c r="J1152" t="str">
        <f>VLOOKUP(Call_Center_Data[[#This Row],[Emp ID]], Employee[], 3, FALSE)</f>
        <v>Jacksonville, WA</v>
      </c>
      <c r="K1152" t="str">
        <f>VLOOKUP(Call_Center_Data[[#This Row],[Emp ID]], Employee[], 4, FALSE)</f>
        <v>Pierce Rhodes</v>
      </c>
      <c r="L1152" t="str">
        <f>VLOOKUP(Call_Center_Data[[#This Row],[Call Type ID]], Call_Type[], 2, FALSE)</f>
        <v>Tech Sup</v>
      </c>
    </row>
    <row r="1153" spans="1:12" x14ac:dyDescent="0.3">
      <c r="A1153">
        <v>1152</v>
      </c>
      <c r="B1153">
        <v>2</v>
      </c>
      <c r="C1153" s="1">
        <v>45746</v>
      </c>
      <c r="D1153" s="2" t="s">
        <v>70</v>
      </c>
      <c r="E1153">
        <v>0</v>
      </c>
      <c r="F1153">
        <v>13</v>
      </c>
      <c r="G1153">
        <v>167</v>
      </c>
      <c r="H1153">
        <v>224</v>
      </c>
      <c r="I1153" t="str">
        <f>VLOOKUP(Call_Center_Data[[#This Row],[Emp ID]],Employee[],2,FALSE)</f>
        <v>Jill Pat</v>
      </c>
      <c r="J1153" t="str">
        <f>VLOOKUP(Call_Center_Data[[#This Row],[Emp ID]], Employee[], 3, FALSE)</f>
        <v>Aurora, CO</v>
      </c>
      <c r="K1153" t="str">
        <f>VLOOKUP(Call_Center_Data[[#This Row],[Emp ID]], Employee[], 4, FALSE)</f>
        <v>Henry Rhodes</v>
      </c>
      <c r="L1153" t="str">
        <f>VLOOKUP(Call_Center_Data[[#This Row],[Call Type ID]], Call_Type[], 2, FALSE)</f>
        <v>Sales</v>
      </c>
    </row>
    <row r="1154" spans="1:12" x14ac:dyDescent="0.3">
      <c r="A1154">
        <v>1153</v>
      </c>
      <c r="B1154">
        <v>1</v>
      </c>
      <c r="C1154" s="1">
        <v>45747</v>
      </c>
      <c r="D1154" s="2" t="s">
        <v>74</v>
      </c>
      <c r="E1154">
        <v>1</v>
      </c>
      <c r="F1154">
        <v>9</v>
      </c>
      <c r="G1154">
        <v>153</v>
      </c>
      <c r="H1154">
        <v>232</v>
      </c>
      <c r="I1154" t="str">
        <f>VLOOKUP(Call_Center_Data[[#This Row],[Emp ID]],Employee[],2,FALSE)</f>
        <v>Gina John</v>
      </c>
      <c r="J1154" t="str">
        <f>VLOOKUP(Call_Center_Data[[#This Row],[Emp ID]], Employee[], 3, FALSE)</f>
        <v>Jacksonville, WA</v>
      </c>
      <c r="K1154" t="str">
        <f>VLOOKUP(Call_Center_Data[[#This Row],[Emp ID]], Employee[], 4, FALSE)</f>
        <v>Henry Gill</v>
      </c>
      <c r="L1154" t="str">
        <f>VLOOKUP(Call_Center_Data[[#This Row],[Call Type ID]], Call_Type[], 2, FALSE)</f>
        <v>Billing</v>
      </c>
    </row>
    <row r="1155" spans="1:12" x14ac:dyDescent="0.3">
      <c r="A1155">
        <v>1154</v>
      </c>
      <c r="B1155">
        <v>3</v>
      </c>
      <c r="C1155" s="1">
        <v>45748</v>
      </c>
      <c r="D1155" s="2" t="s">
        <v>83</v>
      </c>
      <c r="E1155">
        <v>0</v>
      </c>
      <c r="F1155">
        <v>19</v>
      </c>
      <c r="G1155">
        <v>186</v>
      </c>
      <c r="H1155">
        <v>174</v>
      </c>
      <c r="I1155" t="str">
        <f>VLOOKUP(Call_Center_Data[[#This Row],[Emp ID]],Employee[],2,FALSE)</f>
        <v>Ultor Simons</v>
      </c>
      <c r="J1155" t="str">
        <f>VLOOKUP(Call_Center_Data[[#This Row],[Emp ID]], Employee[], 3, FALSE)</f>
        <v>Jacksonville, WA</v>
      </c>
      <c r="K1155" t="str">
        <f>VLOOKUP(Call_Center_Data[[#This Row],[Emp ID]], Employee[], 4, FALSE)</f>
        <v>Pierce Hall</v>
      </c>
      <c r="L1155" t="str">
        <f>VLOOKUP(Call_Center_Data[[#This Row],[Call Type ID]], Call_Type[], 2, FALSE)</f>
        <v>Tech Sup</v>
      </c>
    </row>
    <row r="1156" spans="1:12" x14ac:dyDescent="0.3">
      <c r="A1156">
        <v>1155</v>
      </c>
      <c r="B1156">
        <v>2</v>
      </c>
      <c r="C1156" s="1">
        <v>45749</v>
      </c>
      <c r="D1156" s="2" t="s">
        <v>78</v>
      </c>
      <c r="E1156">
        <v>0</v>
      </c>
      <c r="F1156">
        <v>6</v>
      </c>
      <c r="G1156">
        <v>185</v>
      </c>
      <c r="H1156">
        <v>109</v>
      </c>
      <c r="I1156" t="str">
        <f>VLOOKUP(Call_Center_Data[[#This Row],[Emp ID]],Employee[],2,FALSE)</f>
        <v>Jill Saab</v>
      </c>
      <c r="J1156" t="str">
        <f>VLOOKUP(Call_Center_Data[[#This Row],[Emp ID]], Employee[], 3, FALSE)</f>
        <v>Spokane, WA</v>
      </c>
      <c r="K1156" t="str">
        <f>VLOOKUP(Call_Center_Data[[#This Row],[Emp ID]], Employee[], 4, FALSE)</f>
        <v>Timmy Gill</v>
      </c>
      <c r="L1156" t="str">
        <f>VLOOKUP(Call_Center_Data[[#This Row],[Call Type ID]], Call_Type[], 2, FALSE)</f>
        <v>Sales</v>
      </c>
    </row>
    <row r="1157" spans="1:12" x14ac:dyDescent="0.3">
      <c r="A1157">
        <v>1156</v>
      </c>
      <c r="B1157">
        <v>1</v>
      </c>
      <c r="C1157" s="1">
        <v>45750</v>
      </c>
      <c r="D1157" s="2" t="s">
        <v>87</v>
      </c>
      <c r="E1157">
        <v>1</v>
      </c>
      <c r="F1157">
        <v>5</v>
      </c>
      <c r="G1157">
        <v>175</v>
      </c>
      <c r="H1157">
        <v>196</v>
      </c>
      <c r="I1157" t="str">
        <f>VLOOKUP(Call_Center_Data[[#This Row],[Emp ID]],Employee[],2,FALSE)</f>
        <v>Gina Saab</v>
      </c>
      <c r="J1157" t="str">
        <f>VLOOKUP(Call_Center_Data[[#This Row],[Emp ID]], Employee[], 3, FALSE)</f>
        <v>Jacksonville, WA</v>
      </c>
      <c r="K1157" t="str">
        <f>VLOOKUP(Call_Center_Data[[#This Row],[Emp ID]], Employee[], 4, FALSE)</f>
        <v>Jenny Gill</v>
      </c>
      <c r="L1157" t="str">
        <f>VLOOKUP(Call_Center_Data[[#This Row],[Call Type ID]], Call_Type[], 2, FALSE)</f>
        <v>Billing</v>
      </c>
    </row>
    <row r="1158" spans="1:12" x14ac:dyDescent="0.3">
      <c r="A1158">
        <v>1157</v>
      </c>
      <c r="B1158">
        <v>3</v>
      </c>
      <c r="C1158" s="1">
        <v>45751</v>
      </c>
      <c r="D1158" s="2" t="s">
        <v>67</v>
      </c>
      <c r="E1158">
        <v>0</v>
      </c>
      <c r="F1158">
        <v>9</v>
      </c>
      <c r="G1158">
        <v>166</v>
      </c>
      <c r="H1158">
        <v>218</v>
      </c>
      <c r="I1158" t="str">
        <f>VLOOKUP(Call_Center_Data[[#This Row],[Emp ID]],Employee[],2,FALSE)</f>
        <v>Tina Pat</v>
      </c>
      <c r="J1158" t="str">
        <f>VLOOKUP(Call_Center_Data[[#This Row],[Emp ID]], Employee[], 3, FALSE)</f>
        <v>Jacksonville, WA</v>
      </c>
      <c r="K1158" t="str">
        <f>VLOOKUP(Call_Center_Data[[#This Row],[Emp ID]], Employee[], 4, FALSE)</f>
        <v>John Hall</v>
      </c>
      <c r="L1158" t="str">
        <f>VLOOKUP(Call_Center_Data[[#This Row],[Call Type ID]], Call_Type[], 2, FALSE)</f>
        <v>Tech Sup</v>
      </c>
    </row>
    <row r="1159" spans="1:12" x14ac:dyDescent="0.3">
      <c r="A1159">
        <v>1158</v>
      </c>
      <c r="B1159">
        <v>3</v>
      </c>
      <c r="C1159" s="1">
        <v>45752</v>
      </c>
      <c r="D1159" s="2" t="s">
        <v>75</v>
      </c>
      <c r="E1159">
        <v>0</v>
      </c>
      <c r="F1159">
        <v>26</v>
      </c>
      <c r="G1159">
        <v>196</v>
      </c>
      <c r="H1159">
        <v>164</v>
      </c>
      <c r="I1159" t="str">
        <f>VLOOKUP(Call_Center_Data[[#This Row],[Emp ID]],Employee[],2,FALSE)</f>
        <v>Gina Pat</v>
      </c>
      <c r="J1159" t="str">
        <f>VLOOKUP(Call_Center_Data[[#This Row],[Emp ID]], Employee[], 3, FALSE)</f>
        <v>Spokane, WA</v>
      </c>
      <c r="K1159" t="str">
        <f>VLOOKUP(Call_Center_Data[[#This Row],[Emp ID]], Employee[], 4, FALSE)</f>
        <v>Henry Hall</v>
      </c>
      <c r="L1159" t="str">
        <f>VLOOKUP(Call_Center_Data[[#This Row],[Call Type ID]], Call_Type[], 2, FALSE)</f>
        <v>Tech Sup</v>
      </c>
    </row>
    <row r="1160" spans="1:12" x14ac:dyDescent="0.3">
      <c r="A1160">
        <v>1159</v>
      </c>
      <c r="B1160">
        <v>2</v>
      </c>
      <c r="C1160" s="1">
        <v>45753</v>
      </c>
      <c r="D1160" s="2" t="s">
        <v>88</v>
      </c>
      <c r="E1160">
        <v>1</v>
      </c>
      <c r="F1160">
        <v>27</v>
      </c>
      <c r="G1160">
        <v>184</v>
      </c>
      <c r="H1160">
        <v>284</v>
      </c>
      <c r="I1160" t="str">
        <f>VLOOKUP(Call_Center_Data[[#This Row],[Emp ID]],Employee[],2,FALSE)</f>
        <v>Gina Gilder</v>
      </c>
      <c r="J1160" t="str">
        <f>VLOOKUP(Call_Center_Data[[#This Row],[Emp ID]], Employee[], 3, FALSE)</f>
        <v>Jacksonville, WA</v>
      </c>
      <c r="K1160" t="str">
        <f>VLOOKUP(Call_Center_Data[[#This Row],[Emp ID]], Employee[], 4, FALSE)</f>
        <v>Pierce Rhodes</v>
      </c>
      <c r="L1160" t="str">
        <f>VLOOKUP(Call_Center_Data[[#This Row],[Call Type ID]], Call_Type[], 2, FALSE)</f>
        <v>Sales</v>
      </c>
    </row>
    <row r="1161" spans="1:12" x14ac:dyDescent="0.3">
      <c r="A1161">
        <v>1160</v>
      </c>
      <c r="B1161">
        <v>2</v>
      </c>
      <c r="C1161" s="1">
        <v>45754</v>
      </c>
      <c r="D1161" s="2" t="s">
        <v>71</v>
      </c>
      <c r="E1161">
        <v>1</v>
      </c>
      <c r="F1161">
        <v>6</v>
      </c>
      <c r="G1161">
        <v>163</v>
      </c>
      <c r="H1161">
        <v>70</v>
      </c>
      <c r="I1161" t="str">
        <f>VLOOKUP(Call_Center_Data[[#This Row],[Emp ID]],Employee[],2,FALSE)</f>
        <v>Sam Pat</v>
      </c>
      <c r="J1161" t="str">
        <f>VLOOKUP(Call_Center_Data[[#This Row],[Emp ID]], Employee[], 3, FALSE)</f>
        <v>Aurora, CO</v>
      </c>
      <c r="K1161" t="str">
        <f>VLOOKUP(Call_Center_Data[[#This Row],[Emp ID]], Employee[], 4, FALSE)</f>
        <v>Henry Mack</v>
      </c>
      <c r="L1161" t="str">
        <f>VLOOKUP(Call_Center_Data[[#This Row],[Call Type ID]], Call_Type[], 2, FALSE)</f>
        <v>Sales</v>
      </c>
    </row>
    <row r="1162" spans="1:12" x14ac:dyDescent="0.3">
      <c r="A1162">
        <v>1161</v>
      </c>
      <c r="B1162">
        <v>3</v>
      </c>
      <c r="C1162" s="1">
        <v>45755</v>
      </c>
      <c r="D1162" s="2" t="s">
        <v>67</v>
      </c>
      <c r="E1162">
        <v>1</v>
      </c>
      <c r="F1162">
        <v>12</v>
      </c>
      <c r="G1162">
        <v>172</v>
      </c>
      <c r="H1162">
        <v>120</v>
      </c>
      <c r="I1162" t="str">
        <f>VLOOKUP(Call_Center_Data[[#This Row],[Emp ID]],Employee[],2,FALSE)</f>
        <v>Tina Pat</v>
      </c>
      <c r="J1162" t="str">
        <f>VLOOKUP(Call_Center_Data[[#This Row],[Emp ID]], Employee[], 3, FALSE)</f>
        <v>Jacksonville, WA</v>
      </c>
      <c r="K1162" t="str">
        <f>VLOOKUP(Call_Center_Data[[#This Row],[Emp ID]], Employee[], 4, FALSE)</f>
        <v>John Hall</v>
      </c>
      <c r="L1162" t="str">
        <f>VLOOKUP(Call_Center_Data[[#This Row],[Call Type ID]], Call_Type[], 2, FALSE)</f>
        <v>Tech Sup</v>
      </c>
    </row>
    <row r="1163" spans="1:12" x14ac:dyDescent="0.3">
      <c r="A1163">
        <v>1162</v>
      </c>
      <c r="B1163">
        <v>3</v>
      </c>
      <c r="C1163" s="1">
        <v>45756</v>
      </c>
      <c r="D1163" s="2" t="s">
        <v>80</v>
      </c>
      <c r="E1163">
        <v>1</v>
      </c>
      <c r="F1163">
        <v>8</v>
      </c>
      <c r="G1163">
        <v>163</v>
      </c>
      <c r="H1163">
        <v>154</v>
      </c>
      <c r="I1163" t="str">
        <f>VLOOKUP(Call_Center_Data[[#This Row],[Emp ID]],Employee[],2,FALSE)</f>
        <v>Tina Simons</v>
      </c>
      <c r="J1163" t="str">
        <f>VLOOKUP(Call_Center_Data[[#This Row],[Emp ID]], Employee[], 3, FALSE)</f>
        <v>Aurora, CO</v>
      </c>
      <c r="K1163" t="str">
        <f>VLOOKUP(Call_Center_Data[[#This Row],[Emp ID]], Employee[], 4, FALSE)</f>
        <v>Pierce Gill</v>
      </c>
      <c r="L1163" t="str">
        <f>VLOOKUP(Call_Center_Data[[#This Row],[Call Type ID]], Call_Type[], 2, FALSE)</f>
        <v>Tech Sup</v>
      </c>
    </row>
    <row r="1164" spans="1:12" x14ac:dyDescent="0.3">
      <c r="A1164">
        <v>1163</v>
      </c>
      <c r="B1164">
        <v>2</v>
      </c>
      <c r="C1164" s="1">
        <v>45757</v>
      </c>
      <c r="D1164" s="2" t="s">
        <v>82</v>
      </c>
      <c r="E1164">
        <v>1</v>
      </c>
      <c r="F1164">
        <v>7</v>
      </c>
      <c r="G1164">
        <v>173</v>
      </c>
      <c r="H1164">
        <v>228</v>
      </c>
      <c r="I1164" t="str">
        <f>VLOOKUP(Call_Center_Data[[#This Row],[Emp ID]],Employee[],2,FALSE)</f>
        <v>Ultor Gilder</v>
      </c>
      <c r="J1164" t="str">
        <f>VLOOKUP(Call_Center_Data[[#This Row],[Emp ID]], Employee[], 3, FALSE)</f>
        <v>Aurora, CO</v>
      </c>
      <c r="K1164" t="str">
        <f>VLOOKUP(Call_Center_Data[[#This Row],[Emp ID]], Employee[], 4, FALSE)</f>
        <v>Pierce Mack</v>
      </c>
      <c r="L1164" t="str">
        <f>VLOOKUP(Call_Center_Data[[#This Row],[Call Type ID]], Call_Type[], 2, FALSE)</f>
        <v>Sales</v>
      </c>
    </row>
    <row r="1165" spans="1:12" x14ac:dyDescent="0.3">
      <c r="A1165">
        <v>1164</v>
      </c>
      <c r="B1165">
        <v>3</v>
      </c>
      <c r="C1165" s="1">
        <v>45758</v>
      </c>
      <c r="D1165" s="2" t="s">
        <v>65</v>
      </c>
      <c r="E1165">
        <v>1</v>
      </c>
      <c r="F1165">
        <v>8</v>
      </c>
      <c r="G1165">
        <v>163</v>
      </c>
      <c r="H1165">
        <v>214</v>
      </c>
      <c r="I1165" t="str">
        <f>VLOOKUP(Call_Center_Data[[#This Row],[Emp ID]],Employee[],2,FALSE)</f>
        <v>Ultor John</v>
      </c>
      <c r="J1165" t="str">
        <f>VLOOKUP(Call_Center_Data[[#This Row],[Emp ID]], Employee[], 3, FALSE)</f>
        <v>Spokane, WA</v>
      </c>
      <c r="K1165" t="str">
        <f>VLOOKUP(Call_Center_Data[[#This Row],[Emp ID]], Employee[], 4, FALSE)</f>
        <v>John Mack</v>
      </c>
      <c r="L1165" t="str">
        <f>VLOOKUP(Call_Center_Data[[#This Row],[Call Type ID]], Call_Type[], 2, FALSE)</f>
        <v>Tech Sup</v>
      </c>
    </row>
    <row r="1166" spans="1:12" x14ac:dyDescent="0.3">
      <c r="A1166">
        <v>1165</v>
      </c>
      <c r="B1166">
        <v>1</v>
      </c>
      <c r="C1166" s="1">
        <v>45759</v>
      </c>
      <c r="D1166" s="2" t="s">
        <v>64</v>
      </c>
      <c r="E1166">
        <v>1</v>
      </c>
      <c r="F1166">
        <v>6</v>
      </c>
      <c r="G1166">
        <v>164</v>
      </c>
      <c r="H1166">
        <v>103</v>
      </c>
      <c r="I1166" t="str">
        <f>VLOOKUP(Call_Center_Data[[#This Row],[Emp ID]],Employee[],2,FALSE)</f>
        <v>Jill Simons</v>
      </c>
      <c r="J1166" t="str">
        <f>VLOOKUP(Call_Center_Data[[#This Row],[Emp ID]], Employee[], 3, FALSE)</f>
        <v>Spokane, WA</v>
      </c>
      <c r="K1166" t="str">
        <f>VLOOKUP(Call_Center_Data[[#This Row],[Emp ID]], Employee[], 4, FALSE)</f>
        <v>Jenny Rhodes</v>
      </c>
      <c r="L1166" t="str">
        <f>VLOOKUP(Call_Center_Data[[#This Row],[Call Type ID]], Call_Type[], 2, FALSE)</f>
        <v>Billing</v>
      </c>
    </row>
    <row r="1167" spans="1:12" x14ac:dyDescent="0.3">
      <c r="A1167">
        <v>1166</v>
      </c>
      <c r="B1167">
        <v>3</v>
      </c>
      <c r="C1167" s="1">
        <v>45760</v>
      </c>
      <c r="D1167" s="2" t="s">
        <v>72</v>
      </c>
      <c r="E1167">
        <v>1</v>
      </c>
      <c r="F1167">
        <v>9</v>
      </c>
      <c r="G1167">
        <v>156</v>
      </c>
      <c r="H1167">
        <v>119</v>
      </c>
      <c r="I1167" t="str">
        <f>VLOOKUP(Call_Center_Data[[#This Row],[Emp ID]],Employee[],2,FALSE)</f>
        <v>Ultor Pat</v>
      </c>
      <c r="J1167" t="str">
        <f>VLOOKUP(Call_Center_Data[[#This Row],[Emp ID]], Employee[], 3, FALSE)</f>
        <v>Jacksonville, WA</v>
      </c>
      <c r="K1167" t="str">
        <f>VLOOKUP(Call_Center_Data[[#This Row],[Emp ID]], Employee[], 4, FALSE)</f>
        <v>Jenny Hall</v>
      </c>
      <c r="L1167" t="str">
        <f>VLOOKUP(Call_Center_Data[[#This Row],[Call Type ID]], Call_Type[], 2, FALSE)</f>
        <v>Tech Sup</v>
      </c>
    </row>
    <row r="1168" spans="1:12" x14ac:dyDescent="0.3">
      <c r="A1168">
        <v>1167</v>
      </c>
      <c r="B1168">
        <v>2</v>
      </c>
      <c r="C1168" s="1">
        <v>45761</v>
      </c>
      <c r="D1168" s="2" t="s">
        <v>78</v>
      </c>
      <c r="E1168">
        <v>0</v>
      </c>
      <c r="F1168">
        <v>9</v>
      </c>
      <c r="G1168">
        <v>147</v>
      </c>
      <c r="H1168">
        <v>93</v>
      </c>
      <c r="I1168" t="str">
        <f>VLOOKUP(Call_Center_Data[[#This Row],[Emp ID]],Employee[],2,FALSE)</f>
        <v>Jill Saab</v>
      </c>
      <c r="J1168" t="str">
        <f>VLOOKUP(Call_Center_Data[[#This Row],[Emp ID]], Employee[], 3, FALSE)</f>
        <v>Spokane, WA</v>
      </c>
      <c r="K1168" t="str">
        <f>VLOOKUP(Call_Center_Data[[#This Row],[Emp ID]], Employee[], 4, FALSE)</f>
        <v>Timmy Gill</v>
      </c>
      <c r="L1168" t="str">
        <f>VLOOKUP(Call_Center_Data[[#This Row],[Call Type ID]], Call_Type[], 2, FALSE)</f>
        <v>Sales</v>
      </c>
    </row>
    <row r="1169" spans="1:12" x14ac:dyDescent="0.3">
      <c r="A1169">
        <v>1168</v>
      </c>
      <c r="B1169">
        <v>2</v>
      </c>
      <c r="C1169" s="1">
        <v>45762</v>
      </c>
      <c r="D1169" s="2" t="s">
        <v>81</v>
      </c>
      <c r="E1169">
        <v>1</v>
      </c>
      <c r="F1169">
        <v>9</v>
      </c>
      <c r="G1169">
        <v>158</v>
      </c>
      <c r="H1169">
        <v>174</v>
      </c>
      <c r="I1169" t="str">
        <f>VLOOKUP(Call_Center_Data[[#This Row],[Emp ID]],Employee[],2,FALSE)</f>
        <v>Sam Simons</v>
      </c>
      <c r="J1169" t="str">
        <f>VLOOKUP(Call_Center_Data[[#This Row],[Emp ID]], Employee[], 3, FALSE)</f>
        <v>Jacksonville, WA</v>
      </c>
      <c r="K1169" t="str">
        <f>VLOOKUP(Call_Center_Data[[#This Row],[Emp ID]], Employee[], 4, FALSE)</f>
        <v>John Baas</v>
      </c>
      <c r="L1169" t="str">
        <f>VLOOKUP(Call_Center_Data[[#This Row],[Call Type ID]], Call_Type[], 2, FALSE)</f>
        <v>Sales</v>
      </c>
    </row>
    <row r="1170" spans="1:12" x14ac:dyDescent="0.3">
      <c r="A1170">
        <v>1169</v>
      </c>
      <c r="B1170">
        <v>1</v>
      </c>
      <c r="C1170" s="1">
        <v>45763</v>
      </c>
      <c r="D1170" s="2" t="s">
        <v>84</v>
      </c>
      <c r="E1170">
        <v>0</v>
      </c>
      <c r="F1170">
        <v>10</v>
      </c>
      <c r="G1170">
        <v>158</v>
      </c>
      <c r="H1170">
        <v>302</v>
      </c>
      <c r="I1170" t="str">
        <f>VLOOKUP(Call_Center_Data[[#This Row],[Emp ID]],Employee[],2,FALSE)</f>
        <v>Sam John</v>
      </c>
      <c r="J1170" t="str">
        <f>VLOOKUP(Call_Center_Data[[#This Row],[Emp ID]], Employee[], 3, FALSE)</f>
        <v>Aurora, CO</v>
      </c>
      <c r="K1170" t="str">
        <f>VLOOKUP(Call_Center_Data[[#This Row],[Emp ID]], Employee[], 4, FALSE)</f>
        <v>Jenny Mack</v>
      </c>
      <c r="L1170" t="str">
        <f>VLOOKUP(Call_Center_Data[[#This Row],[Call Type ID]], Call_Type[], 2, FALSE)</f>
        <v>Billing</v>
      </c>
    </row>
    <row r="1171" spans="1:12" x14ac:dyDescent="0.3">
      <c r="A1171">
        <v>1170</v>
      </c>
      <c r="B1171">
        <v>1</v>
      </c>
      <c r="C1171" s="1">
        <v>45764</v>
      </c>
      <c r="D1171" s="2" t="s">
        <v>67</v>
      </c>
      <c r="E1171">
        <v>1</v>
      </c>
      <c r="F1171">
        <v>4</v>
      </c>
      <c r="G1171">
        <v>156</v>
      </c>
      <c r="H1171">
        <v>173</v>
      </c>
      <c r="I1171" t="str">
        <f>VLOOKUP(Call_Center_Data[[#This Row],[Emp ID]],Employee[],2,FALSE)</f>
        <v>Tina Pat</v>
      </c>
      <c r="J1171" t="str">
        <f>VLOOKUP(Call_Center_Data[[#This Row],[Emp ID]], Employee[], 3, FALSE)</f>
        <v>Jacksonville, WA</v>
      </c>
      <c r="K1171" t="str">
        <f>VLOOKUP(Call_Center_Data[[#This Row],[Emp ID]], Employee[], 4, FALSE)</f>
        <v>John Hall</v>
      </c>
      <c r="L1171" t="str">
        <f>VLOOKUP(Call_Center_Data[[#This Row],[Call Type ID]], Call_Type[], 2, FALSE)</f>
        <v>Billing</v>
      </c>
    </row>
    <row r="1172" spans="1:12" x14ac:dyDescent="0.3">
      <c r="A1172">
        <v>1171</v>
      </c>
      <c r="B1172">
        <v>3</v>
      </c>
      <c r="C1172" s="1">
        <v>45765</v>
      </c>
      <c r="D1172" s="2" t="s">
        <v>73</v>
      </c>
      <c r="E1172">
        <v>0</v>
      </c>
      <c r="F1172">
        <v>8</v>
      </c>
      <c r="G1172">
        <v>161</v>
      </c>
      <c r="H1172">
        <v>211</v>
      </c>
      <c r="I1172" t="str">
        <f>VLOOKUP(Call_Center_Data[[#This Row],[Emp ID]],Employee[],2,FALSE)</f>
        <v>Jill John</v>
      </c>
      <c r="J1172" t="str">
        <f>VLOOKUP(Call_Center_Data[[#This Row],[Emp ID]], Employee[], 3, FALSE)</f>
        <v>Spokane, WA</v>
      </c>
      <c r="K1172" t="str">
        <f>VLOOKUP(Call_Center_Data[[#This Row],[Emp ID]], Employee[], 4, FALSE)</f>
        <v>John Gill</v>
      </c>
      <c r="L1172" t="str">
        <f>VLOOKUP(Call_Center_Data[[#This Row],[Call Type ID]], Call_Type[], 2, FALSE)</f>
        <v>Tech Sup</v>
      </c>
    </row>
    <row r="1173" spans="1:12" x14ac:dyDescent="0.3">
      <c r="A1173">
        <v>1172</v>
      </c>
      <c r="B1173">
        <v>1</v>
      </c>
      <c r="C1173" s="1">
        <v>45766</v>
      </c>
      <c r="D1173" s="2" t="s">
        <v>82</v>
      </c>
      <c r="E1173">
        <v>1</v>
      </c>
      <c r="F1173">
        <v>18</v>
      </c>
      <c r="G1173">
        <v>172</v>
      </c>
      <c r="H1173">
        <v>217</v>
      </c>
      <c r="I1173" t="str">
        <f>VLOOKUP(Call_Center_Data[[#This Row],[Emp ID]],Employee[],2,FALSE)</f>
        <v>Ultor Gilder</v>
      </c>
      <c r="J1173" t="str">
        <f>VLOOKUP(Call_Center_Data[[#This Row],[Emp ID]], Employee[], 3, FALSE)</f>
        <v>Aurora, CO</v>
      </c>
      <c r="K1173" t="str">
        <f>VLOOKUP(Call_Center_Data[[#This Row],[Emp ID]], Employee[], 4, FALSE)</f>
        <v>Pierce Mack</v>
      </c>
      <c r="L1173" t="str">
        <f>VLOOKUP(Call_Center_Data[[#This Row],[Call Type ID]], Call_Type[], 2, FALSE)</f>
        <v>Billing</v>
      </c>
    </row>
    <row r="1174" spans="1:12" x14ac:dyDescent="0.3">
      <c r="A1174">
        <v>1173</v>
      </c>
      <c r="B1174">
        <v>3</v>
      </c>
      <c r="C1174" s="1">
        <v>45767</v>
      </c>
      <c r="D1174" s="2" t="s">
        <v>79</v>
      </c>
      <c r="E1174">
        <v>1</v>
      </c>
      <c r="F1174">
        <v>10</v>
      </c>
      <c r="G1174">
        <v>149</v>
      </c>
      <c r="H1174">
        <v>232</v>
      </c>
      <c r="I1174" t="str">
        <f>VLOOKUP(Call_Center_Data[[#This Row],[Emp ID]],Employee[],2,FALSE)</f>
        <v>Gina Simons</v>
      </c>
      <c r="J1174" t="str">
        <f>VLOOKUP(Call_Center_Data[[#This Row],[Emp ID]], Employee[], 3, FALSE)</f>
        <v>Spokane, WA</v>
      </c>
      <c r="K1174" t="str">
        <f>VLOOKUP(Call_Center_Data[[#This Row],[Emp ID]], Employee[], 4, FALSE)</f>
        <v>John Rhodes</v>
      </c>
      <c r="L1174" t="str">
        <f>VLOOKUP(Call_Center_Data[[#This Row],[Call Type ID]], Call_Type[], 2, FALSE)</f>
        <v>Tech Sup</v>
      </c>
    </row>
    <row r="1175" spans="1:12" x14ac:dyDescent="0.3">
      <c r="A1175">
        <v>1174</v>
      </c>
      <c r="B1175">
        <v>2</v>
      </c>
      <c r="C1175" s="1">
        <v>45768</v>
      </c>
      <c r="D1175" s="2" t="s">
        <v>88</v>
      </c>
      <c r="E1175">
        <v>0</v>
      </c>
      <c r="F1175">
        <v>4</v>
      </c>
      <c r="G1175">
        <v>162</v>
      </c>
      <c r="H1175">
        <v>29</v>
      </c>
      <c r="I1175" t="str">
        <f>VLOOKUP(Call_Center_Data[[#This Row],[Emp ID]],Employee[],2,FALSE)</f>
        <v>Gina Gilder</v>
      </c>
      <c r="J1175" t="str">
        <f>VLOOKUP(Call_Center_Data[[#This Row],[Emp ID]], Employee[], 3, FALSE)</f>
        <v>Jacksonville, WA</v>
      </c>
      <c r="K1175" t="str">
        <f>VLOOKUP(Call_Center_Data[[#This Row],[Emp ID]], Employee[], 4, FALSE)</f>
        <v>Pierce Rhodes</v>
      </c>
      <c r="L1175" t="str">
        <f>VLOOKUP(Call_Center_Data[[#This Row],[Call Type ID]], Call_Type[], 2, FALSE)</f>
        <v>Sales</v>
      </c>
    </row>
    <row r="1176" spans="1:12" x14ac:dyDescent="0.3">
      <c r="A1176">
        <v>1175</v>
      </c>
      <c r="B1176">
        <v>1</v>
      </c>
      <c r="C1176" s="1">
        <v>45769</v>
      </c>
      <c r="D1176" s="2" t="s">
        <v>64</v>
      </c>
      <c r="E1176">
        <v>0</v>
      </c>
      <c r="F1176">
        <v>3</v>
      </c>
      <c r="G1176">
        <v>166</v>
      </c>
      <c r="H1176">
        <v>3</v>
      </c>
      <c r="I1176" t="str">
        <f>VLOOKUP(Call_Center_Data[[#This Row],[Emp ID]],Employee[],2,FALSE)</f>
        <v>Jill Simons</v>
      </c>
      <c r="J1176" t="str">
        <f>VLOOKUP(Call_Center_Data[[#This Row],[Emp ID]], Employee[], 3, FALSE)</f>
        <v>Spokane, WA</v>
      </c>
      <c r="K1176" t="str">
        <f>VLOOKUP(Call_Center_Data[[#This Row],[Emp ID]], Employee[], 4, FALSE)</f>
        <v>Jenny Rhodes</v>
      </c>
      <c r="L1176" t="str">
        <f>VLOOKUP(Call_Center_Data[[#This Row],[Call Type ID]], Call_Type[], 2, FALSE)</f>
        <v>Billing</v>
      </c>
    </row>
    <row r="1177" spans="1:12" x14ac:dyDescent="0.3">
      <c r="A1177">
        <v>1176</v>
      </c>
      <c r="B1177">
        <v>3</v>
      </c>
      <c r="C1177" s="1">
        <v>45770</v>
      </c>
      <c r="D1177" s="2" t="s">
        <v>77</v>
      </c>
      <c r="E1177">
        <v>0</v>
      </c>
      <c r="F1177">
        <v>5</v>
      </c>
      <c r="G1177">
        <v>172</v>
      </c>
      <c r="H1177">
        <v>58</v>
      </c>
      <c r="I1177" t="str">
        <f>VLOOKUP(Call_Center_Data[[#This Row],[Emp ID]],Employee[],2,FALSE)</f>
        <v>Sam Saab</v>
      </c>
      <c r="J1177" t="str">
        <f>VLOOKUP(Call_Center_Data[[#This Row],[Emp ID]], Employee[], 3, FALSE)</f>
        <v>Aurora, CO</v>
      </c>
      <c r="K1177" t="str">
        <f>VLOOKUP(Call_Center_Data[[#This Row],[Emp ID]], Employee[], 4, FALSE)</f>
        <v>Timmy Mack</v>
      </c>
      <c r="L1177" t="str">
        <f>VLOOKUP(Call_Center_Data[[#This Row],[Call Type ID]], Call_Type[], 2, FALSE)</f>
        <v>Tech Sup</v>
      </c>
    </row>
    <row r="1178" spans="1:12" x14ac:dyDescent="0.3">
      <c r="A1178">
        <v>1177</v>
      </c>
      <c r="B1178">
        <v>1</v>
      </c>
      <c r="C1178" s="1">
        <v>45771</v>
      </c>
      <c r="D1178" s="2" t="s">
        <v>80</v>
      </c>
      <c r="E1178">
        <v>1</v>
      </c>
      <c r="F1178">
        <v>3</v>
      </c>
      <c r="G1178">
        <v>161</v>
      </c>
      <c r="H1178">
        <v>3</v>
      </c>
      <c r="I1178" t="str">
        <f>VLOOKUP(Call_Center_Data[[#This Row],[Emp ID]],Employee[],2,FALSE)</f>
        <v>Tina Simons</v>
      </c>
      <c r="J1178" t="str">
        <f>VLOOKUP(Call_Center_Data[[#This Row],[Emp ID]], Employee[], 3, FALSE)</f>
        <v>Aurora, CO</v>
      </c>
      <c r="K1178" t="str">
        <f>VLOOKUP(Call_Center_Data[[#This Row],[Emp ID]], Employee[], 4, FALSE)</f>
        <v>Pierce Gill</v>
      </c>
      <c r="L1178" t="str">
        <f>VLOOKUP(Call_Center_Data[[#This Row],[Call Type ID]], Call_Type[], 2, FALSE)</f>
        <v>Billing</v>
      </c>
    </row>
    <row r="1179" spans="1:12" x14ac:dyDescent="0.3">
      <c r="A1179">
        <v>1178</v>
      </c>
      <c r="B1179">
        <v>3</v>
      </c>
      <c r="C1179" s="1">
        <v>45772</v>
      </c>
      <c r="D1179" s="2" t="s">
        <v>77</v>
      </c>
      <c r="E1179">
        <v>1</v>
      </c>
      <c r="F1179">
        <v>5</v>
      </c>
      <c r="G1179">
        <v>144</v>
      </c>
      <c r="H1179">
        <v>290</v>
      </c>
      <c r="I1179" t="str">
        <f>VLOOKUP(Call_Center_Data[[#This Row],[Emp ID]],Employee[],2,FALSE)</f>
        <v>Sam Saab</v>
      </c>
      <c r="J1179" t="str">
        <f>VLOOKUP(Call_Center_Data[[#This Row],[Emp ID]], Employee[], 3, FALSE)</f>
        <v>Aurora, CO</v>
      </c>
      <c r="K1179" t="str">
        <f>VLOOKUP(Call_Center_Data[[#This Row],[Emp ID]], Employee[], 4, FALSE)</f>
        <v>Timmy Mack</v>
      </c>
      <c r="L1179" t="str">
        <f>VLOOKUP(Call_Center_Data[[#This Row],[Call Type ID]], Call_Type[], 2, FALSE)</f>
        <v>Tech Sup</v>
      </c>
    </row>
    <row r="1180" spans="1:12" x14ac:dyDescent="0.3">
      <c r="A1180">
        <v>1179</v>
      </c>
      <c r="B1180">
        <v>3</v>
      </c>
      <c r="C1180" s="1">
        <v>45773</v>
      </c>
      <c r="D1180" s="2" t="s">
        <v>86</v>
      </c>
      <c r="E1180">
        <v>1</v>
      </c>
      <c r="F1180">
        <v>5</v>
      </c>
      <c r="G1180">
        <v>187</v>
      </c>
      <c r="H1180">
        <v>61</v>
      </c>
      <c r="I1180" t="str">
        <f>VLOOKUP(Call_Center_Data[[#This Row],[Emp ID]],Employee[],2,FALSE)</f>
        <v>Jill Gilder</v>
      </c>
      <c r="J1180" t="str">
        <f>VLOOKUP(Call_Center_Data[[#This Row],[Emp ID]], Employee[], 3, FALSE)</f>
        <v>Aurora, CO</v>
      </c>
      <c r="K1180" t="str">
        <f>VLOOKUP(Call_Center_Data[[#This Row],[Emp ID]], Employee[], 4, FALSE)</f>
        <v>Jenny Baas</v>
      </c>
      <c r="L1180" t="str">
        <f>VLOOKUP(Call_Center_Data[[#This Row],[Call Type ID]], Call_Type[], 2, FALSE)</f>
        <v>Tech Sup</v>
      </c>
    </row>
    <row r="1181" spans="1:12" x14ac:dyDescent="0.3">
      <c r="A1181">
        <v>1180</v>
      </c>
      <c r="B1181">
        <v>1</v>
      </c>
      <c r="C1181" s="1">
        <v>45774</v>
      </c>
      <c r="D1181" s="2" t="s">
        <v>80</v>
      </c>
      <c r="E1181">
        <v>0</v>
      </c>
      <c r="F1181">
        <v>3</v>
      </c>
      <c r="G1181">
        <v>144</v>
      </c>
      <c r="H1181">
        <v>58</v>
      </c>
      <c r="I1181" t="str">
        <f>VLOOKUP(Call_Center_Data[[#This Row],[Emp ID]],Employee[],2,FALSE)</f>
        <v>Tina Simons</v>
      </c>
      <c r="J1181" t="str">
        <f>VLOOKUP(Call_Center_Data[[#This Row],[Emp ID]], Employee[], 3, FALSE)</f>
        <v>Aurora, CO</v>
      </c>
      <c r="K1181" t="str">
        <f>VLOOKUP(Call_Center_Data[[#This Row],[Emp ID]], Employee[], 4, FALSE)</f>
        <v>Pierce Gill</v>
      </c>
      <c r="L1181" t="str">
        <f>VLOOKUP(Call_Center_Data[[#This Row],[Call Type ID]], Call_Type[], 2, FALSE)</f>
        <v>Billing</v>
      </c>
    </row>
    <row r="1182" spans="1:12" x14ac:dyDescent="0.3">
      <c r="A1182">
        <v>1181</v>
      </c>
      <c r="B1182">
        <v>3</v>
      </c>
      <c r="C1182" s="1">
        <v>45775</v>
      </c>
      <c r="D1182" s="2" t="s">
        <v>73</v>
      </c>
      <c r="E1182">
        <v>1</v>
      </c>
      <c r="F1182">
        <v>6</v>
      </c>
      <c r="G1182">
        <v>140</v>
      </c>
      <c r="H1182">
        <v>61</v>
      </c>
      <c r="I1182" t="str">
        <f>VLOOKUP(Call_Center_Data[[#This Row],[Emp ID]],Employee[],2,FALSE)</f>
        <v>Jill John</v>
      </c>
      <c r="J1182" t="str">
        <f>VLOOKUP(Call_Center_Data[[#This Row],[Emp ID]], Employee[], 3, FALSE)</f>
        <v>Spokane, WA</v>
      </c>
      <c r="K1182" t="str">
        <f>VLOOKUP(Call_Center_Data[[#This Row],[Emp ID]], Employee[], 4, FALSE)</f>
        <v>John Gill</v>
      </c>
      <c r="L1182" t="str">
        <f>VLOOKUP(Call_Center_Data[[#This Row],[Call Type ID]], Call_Type[], 2, FALSE)</f>
        <v>Tech Sup</v>
      </c>
    </row>
    <row r="1183" spans="1:12" x14ac:dyDescent="0.3">
      <c r="A1183">
        <v>1182</v>
      </c>
      <c r="B1183">
        <v>3</v>
      </c>
      <c r="C1183" s="1">
        <v>45776</v>
      </c>
      <c r="D1183" s="2" t="s">
        <v>67</v>
      </c>
      <c r="E1183">
        <v>0</v>
      </c>
      <c r="F1183">
        <v>16</v>
      </c>
      <c r="G1183">
        <v>163</v>
      </c>
      <c r="H1183">
        <v>126</v>
      </c>
      <c r="I1183" t="str">
        <f>VLOOKUP(Call_Center_Data[[#This Row],[Emp ID]],Employee[],2,FALSE)</f>
        <v>Tina Pat</v>
      </c>
      <c r="J1183" t="str">
        <f>VLOOKUP(Call_Center_Data[[#This Row],[Emp ID]], Employee[], 3, FALSE)</f>
        <v>Jacksonville, WA</v>
      </c>
      <c r="K1183" t="str">
        <f>VLOOKUP(Call_Center_Data[[#This Row],[Emp ID]], Employee[], 4, FALSE)</f>
        <v>John Hall</v>
      </c>
      <c r="L1183" t="str">
        <f>VLOOKUP(Call_Center_Data[[#This Row],[Call Type ID]], Call_Type[], 2, FALSE)</f>
        <v>Tech Sup</v>
      </c>
    </row>
    <row r="1184" spans="1:12" x14ac:dyDescent="0.3">
      <c r="A1184">
        <v>1183</v>
      </c>
      <c r="B1184">
        <v>2</v>
      </c>
      <c r="C1184" s="1">
        <v>45777</v>
      </c>
      <c r="D1184" s="2" t="s">
        <v>73</v>
      </c>
      <c r="E1184">
        <v>0</v>
      </c>
      <c r="F1184">
        <v>13</v>
      </c>
      <c r="G1184">
        <v>147</v>
      </c>
      <c r="H1184">
        <v>278</v>
      </c>
      <c r="I1184" t="str">
        <f>VLOOKUP(Call_Center_Data[[#This Row],[Emp ID]],Employee[],2,FALSE)</f>
        <v>Jill John</v>
      </c>
      <c r="J1184" t="str">
        <f>VLOOKUP(Call_Center_Data[[#This Row],[Emp ID]], Employee[], 3, FALSE)</f>
        <v>Spokane, WA</v>
      </c>
      <c r="K1184" t="str">
        <f>VLOOKUP(Call_Center_Data[[#This Row],[Emp ID]], Employee[], 4, FALSE)</f>
        <v>John Gill</v>
      </c>
      <c r="L1184" t="str">
        <f>VLOOKUP(Call_Center_Data[[#This Row],[Call Type ID]], Call_Type[], 2, FALSE)</f>
        <v>Sales</v>
      </c>
    </row>
    <row r="1185" spans="1:12" x14ac:dyDescent="0.3">
      <c r="A1185">
        <v>1184</v>
      </c>
      <c r="B1185">
        <v>2</v>
      </c>
      <c r="C1185" s="1">
        <v>45778</v>
      </c>
      <c r="D1185" s="2" t="s">
        <v>74</v>
      </c>
      <c r="E1185">
        <v>1</v>
      </c>
      <c r="F1185">
        <v>3</v>
      </c>
      <c r="G1185">
        <v>173</v>
      </c>
      <c r="H1185">
        <v>58</v>
      </c>
      <c r="I1185" t="str">
        <f>VLOOKUP(Call_Center_Data[[#This Row],[Emp ID]],Employee[],2,FALSE)</f>
        <v>Gina John</v>
      </c>
      <c r="J1185" t="str">
        <f>VLOOKUP(Call_Center_Data[[#This Row],[Emp ID]], Employee[], 3, FALSE)</f>
        <v>Jacksonville, WA</v>
      </c>
      <c r="K1185" t="str">
        <f>VLOOKUP(Call_Center_Data[[#This Row],[Emp ID]], Employee[], 4, FALSE)</f>
        <v>Henry Gill</v>
      </c>
      <c r="L1185" t="str">
        <f>VLOOKUP(Call_Center_Data[[#This Row],[Call Type ID]], Call_Type[], 2, FALSE)</f>
        <v>Sales</v>
      </c>
    </row>
    <row r="1186" spans="1:12" x14ac:dyDescent="0.3">
      <c r="A1186">
        <v>1185</v>
      </c>
      <c r="B1186">
        <v>1</v>
      </c>
      <c r="C1186" s="1">
        <v>45779</v>
      </c>
      <c r="D1186" s="2" t="s">
        <v>77</v>
      </c>
      <c r="E1186">
        <v>1</v>
      </c>
      <c r="F1186">
        <v>12</v>
      </c>
      <c r="G1186">
        <v>144</v>
      </c>
      <c r="H1186">
        <v>170</v>
      </c>
      <c r="I1186" t="str">
        <f>VLOOKUP(Call_Center_Data[[#This Row],[Emp ID]],Employee[],2,FALSE)</f>
        <v>Sam Saab</v>
      </c>
      <c r="J1186" t="str">
        <f>VLOOKUP(Call_Center_Data[[#This Row],[Emp ID]], Employee[], 3, FALSE)</f>
        <v>Aurora, CO</v>
      </c>
      <c r="K1186" t="str">
        <f>VLOOKUP(Call_Center_Data[[#This Row],[Emp ID]], Employee[], 4, FALSE)</f>
        <v>Timmy Mack</v>
      </c>
      <c r="L1186" t="str">
        <f>VLOOKUP(Call_Center_Data[[#This Row],[Call Type ID]], Call_Type[], 2, FALSE)</f>
        <v>Billing</v>
      </c>
    </row>
    <row r="1187" spans="1:12" x14ac:dyDescent="0.3">
      <c r="A1187">
        <v>1186</v>
      </c>
      <c r="B1187">
        <v>3</v>
      </c>
      <c r="C1187" s="1">
        <v>45780</v>
      </c>
      <c r="D1187" s="2" t="s">
        <v>75</v>
      </c>
      <c r="E1187">
        <v>0</v>
      </c>
      <c r="F1187">
        <v>12</v>
      </c>
      <c r="G1187">
        <v>166</v>
      </c>
      <c r="H1187">
        <v>269</v>
      </c>
      <c r="I1187" t="str">
        <f>VLOOKUP(Call_Center_Data[[#This Row],[Emp ID]],Employee[],2,FALSE)</f>
        <v>Gina Pat</v>
      </c>
      <c r="J1187" t="str">
        <f>VLOOKUP(Call_Center_Data[[#This Row],[Emp ID]], Employee[], 3, FALSE)</f>
        <v>Spokane, WA</v>
      </c>
      <c r="K1187" t="str">
        <f>VLOOKUP(Call_Center_Data[[#This Row],[Emp ID]], Employee[], 4, FALSE)</f>
        <v>Henry Hall</v>
      </c>
      <c r="L1187" t="str">
        <f>VLOOKUP(Call_Center_Data[[#This Row],[Call Type ID]], Call_Type[], 2, FALSE)</f>
        <v>Tech Sup</v>
      </c>
    </row>
    <row r="1188" spans="1:12" x14ac:dyDescent="0.3">
      <c r="A1188">
        <v>1187</v>
      </c>
      <c r="B1188">
        <v>1</v>
      </c>
      <c r="C1188" s="1">
        <v>45781</v>
      </c>
      <c r="D1188" s="2" t="s">
        <v>81</v>
      </c>
      <c r="E1188">
        <v>0</v>
      </c>
      <c r="F1188">
        <v>4</v>
      </c>
      <c r="G1188">
        <v>156</v>
      </c>
      <c r="H1188">
        <v>21</v>
      </c>
      <c r="I1188" t="str">
        <f>VLOOKUP(Call_Center_Data[[#This Row],[Emp ID]],Employee[],2,FALSE)</f>
        <v>Sam Simons</v>
      </c>
      <c r="J1188" t="str">
        <f>VLOOKUP(Call_Center_Data[[#This Row],[Emp ID]], Employee[], 3, FALSE)</f>
        <v>Jacksonville, WA</v>
      </c>
      <c r="K1188" t="str">
        <f>VLOOKUP(Call_Center_Data[[#This Row],[Emp ID]], Employee[], 4, FALSE)</f>
        <v>John Baas</v>
      </c>
      <c r="L1188" t="str">
        <f>VLOOKUP(Call_Center_Data[[#This Row],[Call Type ID]], Call_Type[], 2, FALSE)</f>
        <v>Billing</v>
      </c>
    </row>
    <row r="1189" spans="1:12" x14ac:dyDescent="0.3">
      <c r="A1189">
        <v>1188</v>
      </c>
      <c r="B1189">
        <v>3</v>
      </c>
      <c r="C1189" s="1">
        <v>45782</v>
      </c>
      <c r="D1189" s="2" t="s">
        <v>74</v>
      </c>
      <c r="E1189">
        <v>1</v>
      </c>
      <c r="F1189">
        <v>33</v>
      </c>
      <c r="G1189">
        <v>159</v>
      </c>
      <c r="H1189">
        <v>93</v>
      </c>
      <c r="I1189" t="str">
        <f>VLOOKUP(Call_Center_Data[[#This Row],[Emp ID]],Employee[],2,FALSE)</f>
        <v>Gina John</v>
      </c>
      <c r="J1189" t="str">
        <f>VLOOKUP(Call_Center_Data[[#This Row],[Emp ID]], Employee[], 3, FALSE)</f>
        <v>Jacksonville, WA</v>
      </c>
      <c r="K1189" t="str">
        <f>VLOOKUP(Call_Center_Data[[#This Row],[Emp ID]], Employee[], 4, FALSE)</f>
        <v>Henry Gill</v>
      </c>
      <c r="L1189" t="str">
        <f>VLOOKUP(Call_Center_Data[[#This Row],[Call Type ID]], Call_Type[], 2, FALSE)</f>
        <v>Tech Sup</v>
      </c>
    </row>
    <row r="1190" spans="1:12" x14ac:dyDescent="0.3">
      <c r="A1190">
        <v>1189</v>
      </c>
      <c r="B1190">
        <v>3</v>
      </c>
      <c r="C1190" s="1">
        <v>45783</v>
      </c>
      <c r="D1190" s="2" t="s">
        <v>85</v>
      </c>
      <c r="E1190">
        <v>1</v>
      </c>
      <c r="F1190">
        <v>12</v>
      </c>
      <c r="G1190">
        <v>167</v>
      </c>
      <c r="H1190">
        <v>89</v>
      </c>
      <c r="I1190" t="str">
        <f>VLOOKUP(Call_Center_Data[[#This Row],[Emp ID]],Employee[],2,FALSE)</f>
        <v>Tina Gilder</v>
      </c>
      <c r="J1190" t="str">
        <f>VLOOKUP(Call_Center_Data[[#This Row],[Emp ID]], Employee[], 3, FALSE)</f>
        <v>Spokane, WA</v>
      </c>
      <c r="K1190" t="str">
        <f>VLOOKUP(Call_Center_Data[[#This Row],[Emp ID]], Employee[], 4, FALSE)</f>
        <v>Timmy Baas</v>
      </c>
      <c r="L1190" t="str">
        <f>VLOOKUP(Call_Center_Data[[#This Row],[Call Type ID]], Call_Type[], 2, FALSE)</f>
        <v>Tech Sup</v>
      </c>
    </row>
    <row r="1191" spans="1:12" x14ac:dyDescent="0.3">
      <c r="A1191">
        <v>1190</v>
      </c>
      <c r="B1191">
        <v>2</v>
      </c>
      <c r="C1191" s="1">
        <v>45784</v>
      </c>
      <c r="D1191" s="2" t="s">
        <v>64</v>
      </c>
      <c r="E1191">
        <v>0</v>
      </c>
      <c r="F1191">
        <v>5</v>
      </c>
      <c r="G1191">
        <v>162</v>
      </c>
      <c r="H1191">
        <v>58</v>
      </c>
      <c r="I1191" t="str">
        <f>VLOOKUP(Call_Center_Data[[#This Row],[Emp ID]],Employee[],2,FALSE)</f>
        <v>Jill Simons</v>
      </c>
      <c r="J1191" t="str">
        <f>VLOOKUP(Call_Center_Data[[#This Row],[Emp ID]], Employee[], 3, FALSE)</f>
        <v>Spokane, WA</v>
      </c>
      <c r="K1191" t="str">
        <f>VLOOKUP(Call_Center_Data[[#This Row],[Emp ID]], Employee[], 4, FALSE)</f>
        <v>Jenny Rhodes</v>
      </c>
      <c r="L1191" t="str">
        <f>VLOOKUP(Call_Center_Data[[#This Row],[Call Type ID]], Call_Type[], 2, FALSE)</f>
        <v>Sales</v>
      </c>
    </row>
    <row r="1192" spans="1:12" x14ac:dyDescent="0.3">
      <c r="A1192">
        <v>1191</v>
      </c>
      <c r="B1192">
        <v>1</v>
      </c>
      <c r="C1192" s="1">
        <v>45785</v>
      </c>
      <c r="D1192" s="2" t="s">
        <v>72</v>
      </c>
      <c r="E1192">
        <v>1</v>
      </c>
      <c r="F1192">
        <v>4</v>
      </c>
      <c r="G1192">
        <v>148</v>
      </c>
      <c r="H1192">
        <v>62</v>
      </c>
      <c r="I1192" t="str">
        <f>VLOOKUP(Call_Center_Data[[#This Row],[Emp ID]],Employee[],2,FALSE)</f>
        <v>Ultor Pat</v>
      </c>
      <c r="J1192" t="str">
        <f>VLOOKUP(Call_Center_Data[[#This Row],[Emp ID]], Employee[], 3, FALSE)</f>
        <v>Jacksonville, WA</v>
      </c>
      <c r="K1192" t="str">
        <f>VLOOKUP(Call_Center_Data[[#This Row],[Emp ID]], Employee[], 4, FALSE)</f>
        <v>Jenny Hall</v>
      </c>
      <c r="L1192" t="str">
        <f>VLOOKUP(Call_Center_Data[[#This Row],[Call Type ID]], Call_Type[], 2, FALSE)</f>
        <v>Billing</v>
      </c>
    </row>
    <row r="1193" spans="1:12" x14ac:dyDescent="0.3">
      <c r="A1193">
        <v>1192</v>
      </c>
      <c r="B1193">
        <v>3</v>
      </c>
      <c r="C1193" s="1">
        <v>45786</v>
      </c>
      <c r="D1193" s="2" t="s">
        <v>69</v>
      </c>
      <c r="E1193">
        <v>0</v>
      </c>
      <c r="F1193">
        <v>12</v>
      </c>
      <c r="G1193">
        <v>163</v>
      </c>
      <c r="H1193">
        <v>175</v>
      </c>
      <c r="I1193" t="str">
        <f>VLOOKUP(Call_Center_Data[[#This Row],[Emp ID]],Employee[],2,FALSE)</f>
        <v>Sam Gilder</v>
      </c>
      <c r="J1193" t="str">
        <f>VLOOKUP(Call_Center_Data[[#This Row],[Emp ID]], Employee[], 3, FALSE)</f>
        <v>Jacksonville, WA</v>
      </c>
      <c r="K1193" t="str">
        <f>VLOOKUP(Call_Center_Data[[#This Row],[Emp ID]], Employee[], 4, FALSE)</f>
        <v>Timmy Hall</v>
      </c>
      <c r="L1193" t="str">
        <f>VLOOKUP(Call_Center_Data[[#This Row],[Call Type ID]], Call_Type[], 2, FALSE)</f>
        <v>Tech Sup</v>
      </c>
    </row>
    <row r="1194" spans="1:12" x14ac:dyDescent="0.3">
      <c r="A1194">
        <v>1193</v>
      </c>
      <c r="B1194">
        <v>1</v>
      </c>
      <c r="C1194" s="1">
        <v>45787</v>
      </c>
      <c r="D1194" s="2" t="s">
        <v>68</v>
      </c>
      <c r="E1194">
        <v>0</v>
      </c>
      <c r="F1194">
        <v>10</v>
      </c>
      <c r="G1194">
        <v>168</v>
      </c>
      <c r="H1194">
        <v>187</v>
      </c>
      <c r="I1194" t="str">
        <f>VLOOKUP(Call_Center_Data[[#This Row],[Emp ID]],Employee[],2,FALSE)</f>
        <v>Tina Saab</v>
      </c>
      <c r="J1194" t="str">
        <f>VLOOKUP(Call_Center_Data[[#This Row],[Emp ID]], Employee[], 3, FALSE)</f>
        <v>Spokane, WA</v>
      </c>
      <c r="K1194" t="str">
        <f>VLOOKUP(Call_Center_Data[[#This Row],[Emp ID]], Employee[], 4, FALSE)</f>
        <v>Henry Baas</v>
      </c>
      <c r="L1194" t="str">
        <f>VLOOKUP(Call_Center_Data[[#This Row],[Call Type ID]], Call_Type[], 2, FALSE)</f>
        <v>Billing</v>
      </c>
    </row>
    <row r="1195" spans="1:12" x14ac:dyDescent="0.3">
      <c r="A1195">
        <v>1194</v>
      </c>
      <c r="B1195">
        <v>3</v>
      </c>
      <c r="C1195" s="1">
        <v>45788</v>
      </c>
      <c r="D1195" s="2" t="s">
        <v>80</v>
      </c>
      <c r="E1195">
        <v>0</v>
      </c>
      <c r="F1195">
        <v>41</v>
      </c>
      <c r="G1195">
        <v>159</v>
      </c>
      <c r="H1195">
        <v>320</v>
      </c>
      <c r="I1195" t="str">
        <f>VLOOKUP(Call_Center_Data[[#This Row],[Emp ID]],Employee[],2,FALSE)</f>
        <v>Tina Simons</v>
      </c>
      <c r="J1195" t="str">
        <f>VLOOKUP(Call_Center_Data[[#This Row],[Emp ID]], Employee[], 3, FALSE)</f>
        <v>Aurora, CO</v>
      </c>
      <c r="K1195" t="str">
        <f>VLOOKUP(Call_Center_Data[[#This Row],[Emp ID]], Employee[], 4, FALSE)</f>
        <v>Pierce Gill</v>
      </c>
      <c r="L1195" t="str">
        <f>VLOOKUP(Call_Center_Data[[#This Row],[Call Type ID]], Call_Type[], 2, FALSE)</f>
        <v>Tech Sup</v>
      </c>
    </row>
    <row r="1196" spans="1:12" x14ac:dyDescent="0.3">
      <c r="A1196">
        <v>1195</v>
      </c>
      <c r="B1196">
        <v>2</v>
      </c>
      <c r="C1196" s="1">
        <v>45789</v>
      </c>
      <c r="D1196" s="2" t="s">
        <v>86</v>
      </c>
      <c r="E1196">
        <v>0</v>
      </c>
      <c r="F1196">
        <v>18</v>
      </c>
      <c r="G1196">
        <v>190</v>
      </c>
      <c r="H1196">
        <v>235</v>
      </c>
      <c r="I1196" t="str">
        <f>VLOOKUP(Call_Center_Data[[#This Row],[Emp ID]],Employee[],2,FALSE)</f>
        <v>Jill Gilder</v>
      </c>
      <c r="J1196" t="str">
        <f>VLOOKUP(Call_Center_Data[[#This Row],[Emp ID]], Employee[], 3, FALSE)</f>
        <v>Aurora, CO</v>
      </c>
      <c r="K1196" t="str">
        <f>VLOOKUP(Call_Center_Data[[#This Row],[Emp ID]], Employee[], 4, FALSE)</f>
        <v>Jenny Baas</v>
      </c>
      <c r="L1196" t="str">
        <f>VLOOKUP(Call_Center_Data[[#This Row],[Call Type ID]], Call_Type[], 2, FALSE)</f>
        <v>Sales</v>
      </c>
    </row>
    <row r="1197" spans="1:12" x14ac:dyDescent="0.3">
      <c r="A1197">
        <v>1196</v>
      </c>
      <c r="B1197">
        <v>2</v>
      </c>
      <c r="C1197" s="1">
        <v>45790</v>
      </c>
      <c r="D1197" s="2" t="s">
        <v>81</v>
      </c>
      <c r="E1197">
        <v>0</v>
      </c>
      <c r="F1197">
        <v>25</v>
      </c>
      <c r="G1197">
        <v>155</v>
      </c>
      <c r="H1197">
        <v>290</v>
      </c>
      <c r="I1197" t="str">
        <f>VLOOKUP(Call_Center_Data[[#This Row],[Emp ID]],Employee[],2,FALSE)</f>
        <v>Sam Simons</v>
      </c>
      <c r="J1197" t="str">
        <f>VLOOKUP(Call_Center_Data[[#This Row],[Emp ID]], Employee[], 3, FALSE)</f>
        <v>Jacksonville, WA</v>
      </c>
      <c r="K1197" t="str">
        <f>VLOOKUP(Call_Center_Data[[#This Row],[Emp ID]], Employee[], 4, FALSE)</f>
        <v>John Baas</v>
      </c>
      <c r="L1197" t="str">
        <f>VLOOKUP(Call_Center_Data[[#This Row],[Call Type ID]], Call_Type[], 2, FALSE)</f>
        <v>Sales</v>
      </c>
    </row>
    <row r="1198" spans="1:12" x14ac:dyDescent="0.3">
      <c r="A1198">
        <v>1197</v>
      </c>
      <c r="B1198">
        <v>1</v>
      </c>
      <c r="C1198" s="1">
        <v>45791</v>
      </c>
      <c r="D1198" s="2" t="s">
        <v>65</v>
      </c>
      <c r="E1198">
        <v>1</v>
      </c>
      <c r="F1198">
        <v>7</v>
      </c>
      <c r="G1198">
        <v>155</v>
      </c>
      <c r="H1198">
        <v>175</v>
      </c>
      <c r="I1198" t="str">
        <f>VLOOKUP(Call_Center_Data[[#This Row],[Emp ID]],Employee[],2,FALSE)</f>
        <v>Ultor John</v>
      </c>
      <c r="J1198" t="str">
        <f>VLOOKUP(Call_Center_Data[[#This Row],[Emp ID]], Employee[], 3, FALSE)</f>
        <v>Spokane, WA</v>
      </c>
      <c r="K1198" t="str">
        <f>VLOOKUP(Call_Center_Data[[#This Row],[Emp ID]], Employee[], 4, FALSE)</f>
        <v>John Mack</v>
      </c>
      <c r="L1198" t="str">
        <f>VLOOKUP(Call_Center_Data[[#This Row],[Call Type ID]], Call_Type[], 2, FALSE)</f>
        <v>Billing</v>
      </c>
    </row>
    <row r="1199" spans="1:12" x14ac:dyDescent="0.3">
      <c r="A1199">
        <v>1198</v>
      </c>
      <c r="B1199">
        <v>1</v>
      </c>
      <c r="C1199" s="1">
        <v>45792</v>
      </c>
      <c r="D1199" s="2" t="s">
        <v>83</v>
      </c>
      <c r="E1199">
        <v>1</v>
      </c>
      <c r="F1199">
        <v>8</v>
      </c>
      <c r="G1199">
        <v>176</v>
      </c>
      <c r="H1199">
        <v>114</v>
      </c>
      <c r="I1199" t="str">
        <f>VLOOKUP(Call_Center_Data[[#This Row],[Emp ID]],Employee[],2,FALSE)</f>
        <v>Ultor Simons</v>
      </c>
      <c r="J1199" t="str">
        <f>VLOOKUP(Call_Center_Data[[#This Row],[Emp ID]], Employee[], 3, FALSE)</f>
        <v>Jacksonville, WA</v>
      </c>
      <c r="K1199" t="str">
        <f>VLOOKUP(Call_Center_Data[[#This Row],[Emp ID]], Employee[], 4, FALSE)</f>
        <v>Pierce Hall</v>
      </c>
      <c r="L1199" t="str">
        <f>VLOOKUP(Call_Center_Data[[#This Row],[Call Type ID]], Call_Type[], 2, FALSE)</f>
        <v>Billing</v>
      </c>
    </row>
    <row r="1200" spans="1:12" x14ac:dyDescent="0.3">
      <c r="A1200">
        <v>1199</v>
      </c>
      <c r="B1200">
        <v>1</v>
      </c>
      <c r="C1200" s="1">
        <v>45793</v>
      </c>
      <c r="D1200" s="2" t="s">
        <v>66</v>
      </c>
      <c r="E1200">
        <v>1</v>
      </c>
      <c r="F1200">
        <v>11</v>
      </c>
      <c r="G1200">
        <v>160</v>
      </c>
      <c r="H1200">
        <v>174</v>
      </c>
      <c r="I1200" t="str">
        <f>VLOOKUP(Call_Center_Data[[#This Row],[Emp ID]],Employee[],2,FALSE)</f>
        <v>Tina John</v>
      </c>
      <c r="J1200" t="str">
        <f>VLOOKUP(Call_Center_Data[[#This Row],[Emp ID]], Employee[], 3, FALSE)</f>
        <v>Aurora, CO</v>
      </c>
      <c r="K1200" t="str">
        <f>VLOOKUP(Call_Center_Data[[#This Row],[Emp ID]], Employee[], 4, FALSE)</f>
        <v>Timmy Rhodes</v>
      </c>
      <c r="L1200" t="str">
        <f>VLOOKUP(Call_Center_Data[[#This Row],[Call Type ID]], Call_Type[], 2, FALSE)</f>
        <v>Billing</v>
      </c>
    </row>
    <row r="1201" spans="1:12" x14ac:dyDescent="0.3">
      <c r="A1201">
        <v>1200</v>
      </c>
      <c r="B1201">
        <v>3</v>
      </c>
      <c r="C1201" s="1">
        <v>45794</v>
      </c>
      <c r="D1201" s="2" t="s">
        <v>86</v>
      </c>
      <c r="E1201">
        <v>1</v>
      </c>
      <c r="F1201">
        <v>13</v>
      </c>
      <c r="G1201">
        <v>163</v>
      </c>
      <c r="H1201">
        <v>126</v>
      </c>
      <c r="I1201" t="str">
        <f>VLOOKUP(Call_Center_Data[[#This Row],[Emp ID]],Employee[],2,FALSE)</f>
        <v>Jill Gilder</v>
      </c>
      <c r="J1201" t="str">
        <f>VLOOKUP(Call_Center_Data[[#This Row],[Emp ID]], Employee[], 3, FALSE)</f>
        <v>Aurora, CO</v>
      </c>
      <c r="K1201" t="str">
        <f>VLOOKUP(Call_Center_Data[[#This Row],[Emp ID]], Employee[], 4, FALSE)</f>
        <v>Jenny Baas</v>
      </c>
      <c r="L1201" t="str">
        <f>VLOOKUP(Call_Center_Data[[#This Row],[Call Type ID]], Call_Type[], 2, FALSE)</f>
        <v>Tech Sup</v>
      </c>
    </row>
    <row r="1202" spans="1:12" x14ac:dyDescent="0.3">
      <c r="A1202">
        <v>1201</v>
      </c>
      <c r="B1202">
        <v>1</v>
      </c>
      <c r="C1202" s="1">
        <v>45795</v>
      </c>
      <c r="D1202" s="2" t="s">
        <v>82</v>
      </c>
      <c r="E1202">
        <v>1</v>
      </c>
      <c r="F1202">
        <v>11</v>
      </c>
      <c r="G1202">
        <v>180</v>
      </c>
      <c r="H1202">
        <v>154</v>
      </c>
      <c r="I1202" t="str">
        <f>VLOOKUP(Call_Center_Data[[#This Row],[Emp ID]],Employee[],2,FALSE)</f>
        <v>Ultor Gilder</v>
      </c>
      <c r="J1202" t="str">
        <f>VLOOKUP(Call_Center_Data[[#This Row],[Emp ID]], Employee[], 3, FALSE)</f>
        <v>Aurora, CO</v>
      </c>
      <c r="K1202" t="str">
        <f>VLOOKUP(Call_Center_Data[[#This Row],[Emp ID]], Employee[], 4, FALSE)</f>
        <v>Pierce Mack</v>
      </c>
      <c r="L1202" t="str">
        <f>VLOOKUP(Call_Center_Data[[#This Row],[Call Type ID]], Call_Type[], 2, FALSE)</f>
        <v>Billing</v>
      </c>
    </row>
    <row r="1203" spans="1:12" x14ac:dyDescent="0.3">
      <c r="A1203">
        <v>1202</v>
      </c>
      <c r="B1203">
        <v>1</v>
      </c>
      <c r="C1203" s="1">
        <v>45796</v>
      </c>
      <c r="D1203" s="2" t="s">
        <v>82</v>
      </c>
      <c r="E1203">
        <v>1</v>
      </c>
      <c r="F1203">
        <v>6</v>
      </c>
      <c r="G1203">
        <v>118</v>
      </c>
      <c r="H1203">
        <v>59</v>
      </c>
      <c r="I1203" t="str">
        <f>VLOOKUP(Call_Center_Data[[#This Row],[Emp ID]],Employee[],2,FALSE)</f>
        <v>Ultor Gilder</v>
      </c>
      <c r="J1203" t="str">
        <f>VLOOKUP(Call_Center_Data[[#This Row],[Emp ID]], Employee[], 3, FALSE)</f>
        <v>Aurora, CO</v>
      </c>
      <c r="K1203" t="str">
        <f>VLOOKUP(Call_Center_Data[[#This Row],[Emp ID]], Employee[], 4, FALSE)</f>
        <v>Pierce Mack</v>
      </c>
      <c r="L1203" t="str">
        <f>VLOOKUP(Call_Center_Data[[#This Row],[Call Type ID]], Call_Type[], 2, FALSE)</f>
        <v>Billing</v>
      </c>
    </row>
    <row r="1204" spans="1:12" x14ac:dyDescent="0.3">
      <c r="A1204">
        <v>1203</v>
      </c>
      <c r="B1204">
        <v>1</v>
      </c>
      <c r="C1204" s="1">
        <v>45797</v>
      </c>
      <c r="D1204" s="2" t="s">
        <v>72</v>
      </c>
      <c r="E1204">
        <v>1</v>
      </c>
      <c r="F1204">
        <v>10</v>
      </c>
      <c r="G1204">
        <v>160</v>
      </c>
      <c r="H1204">
        <v>104</v>
      </c>
      <c r="I1204" t="str">
        <f>VLOOKUP(Call_Center_Data[[#This Row],[Emp ID]],Employee[],2,FALSE)</f>
        <v>Ultor Pat</v>
      </c>
      <c r="J1204" t="str">
        <f>VLOOKUP(Call_Center_Data[[#This Row],[Emp ID]], Employee[], 3, FALSE)</f>
        <v>Jacksonville, WA</v>
      </c>
      <c r="K1204" t="str">
        <f>VLOOKUP(Call_Center_Data[[#This Row],[Emp ID]], Employee[], 4, FALSE)</f>
        <v>Jenny Hall</v>
      </c>
      <c r="L1204" t="str">
        <f>VLOOKUP(Call_Center_Data[[#This Row],[Call Type ID]], Call_Type[], 2, FALSE)</f>
        <v>Billing</v>
      </c>
    </row>
    <row r="1205" spans="1:12" x14ac:dyDescent="0.3">
      <c r="A1205">
        <v>1204</v>
      </c>
      <c r="B1205">
        <v>2</v>
      </c>
      <c r="C1205" s="1">
        <v>45798</v>
      </c>
      <c r="D1205" s="2" t="s">
        <v>67</v>
      </c>
      <c r="E1205">
        <v>0</v>
      </c>
      <c r="F1205">
        <v>8</v>
      </c>
      <c r="G1205">
        <v>155</v>
      </c>
      <c r="H1205">
        <v>107</v>
      </c>
      <c r="I1205" t="str">
        <f>VLOOKUP(Call_Center_Data[[#This Row],[Emp ID]],Employee[],2,FALSE)</f>
        <v>Tina Pat</v>
      </c>
      <c r="J1205" t="str">
        <f>VLOOKUP(Call_Center_Data[[#This Row],[Emp ID]], Employee[], 3, FALSE)</f>
        <v>Jacksonville, WA</v>
      </c>
      <c r="K1205" t="str">
        <f>VLOOKUP(Call_Center_Data[[#This Row],[Emp ID]], Employee[], 4, FALSE)</f>
        <v>John Hall</v>
      </c>
      <c r="L1205" t="str">
        <f>VLOOKUP(Call_Center_Data[[#This Row],[Call Type ID]], Call_Type[], 2, FALSE)</f>
        <v>Sales</v>
      </c>
    </row>
    <row r="1206" spans="1:12" x14ac:dyDescent="0.3">
      <c r="A1206">
        <v>1205</v>
      </c>
      <c r="B1206">
        <v>2</v>
      </c>
      <c r="C1206" s="1">
        <v>45799</v>
      </c>
      <c r="D1206" s="2" t="s">
        <v>82</v>
      </c>
      <c r="E1206">
        <v>1</v>
      </c>
      <c r="F1206">
        <v>3</v>
      </c>
      <c r="G1206">
        <v>166</v>
      </c>
      <c r="H1206">
        <v>58</v>
      </c>
      <c r="I1206" t="str">
        <f>VLOOKUP(Call_Center_Data[[#This Row],[Emp ID]],Employee[],2,FALSE)</f>
        <v>Ultor Gilder</v>
      </c>
      <c r="J1206" t="str">
        <f>VLOOKUP(Call_Center_Data[[#This Row],[Emp ID]], Employee[], 3, FALSE)</f>
        <v>Aurora, CO</v>
      </c>
      <c r="K1206" t="str">
        <f>VLOOKUP(Call_Center_Data[[#This Row],[Emp ID]], Employee[], 4, FALSE)</f>
        <v>Pierce Mack</v>
      </c>
      <c r="L1206" t="str">
        <f>VLOOKUP(Call_Center_Data[[#This Row],[Call Type ID]], Call_Type[], 2, FALSE)</f>
        <v>Sales</v>
      </c>
    </row>
    <row r="1207" spans="1:12" x14ac:dyDescent="0.3">
      <c r="A1207">
        <v>1206</v>
      </c>
      <c r="B1207">
        <v>3</v>
      </c>
      <c r="C1207" s="1">
        <v>45800</v>
      </c>
      <c r="D1207" s="2" t="s">
        <v>78</v>
      </c>
      <c r="E1207">
        <v>0</v>
      </c>
      <c r="F1207">
        <v>5</v>
      </c>
      <c r="G1207">
        <v>168</v>
      </c>
      <c r="H1207">
        <v>69</v>
      </c>
      <c r="I1207" t="str">
        <f>VLOOKUP(Call_Center_Data[[#This Row],[Emp ID]],Employee[],2,FALSE)</f>
        <v>Jill Saab</v>
      </c>
      <c r="J1207" t="str">
        <f>VLOOKUP(Call_Center_Data[[#This Row],[Emp ID]], Employee[], 3, FALSE)</f>
        <v>Spokane, WA</v>
      </c>
      <c r="K1207" t="str">
        <f>VLOOKUP(Call_Center_Data[[#This Row],[Emp ID]], Employee[], 4, FALSE)</f>
        <v>Timmy Gill</v>
      </c>
      <c r="L1207" t="str">
        <f>VLOOKUP(Call_Center_Data[[#This Row],[Call Type ID]], Call_Type[], 2, FALSE)</f>
        <v>Tech Sup</v>
      </c>
    </row>
    <row r="1208" spans="1:12" x14ac:dyDescent="0.3">
      <c r="A1208">
        <v>1207</v>
      </c>
      <c r="B1208">
        <v>1</v>
      </c>
      <c r="C1208" s="1">
        <v>45801</v>
      </c>
      <c r="D1208" s="2" t="s">
        <v>87</v>
      </c>
      <c r="E1208">
        <v>0</v>
      </c>
      <c r="F1208">
        <v>14</v>
      </c>
      <c r="G1208">
        <v>164</v>
      </c>
      <c r="H1208">
        <v>149</v>
      </c>
      <c r="I1208" t="str">
        <f>VLOOKUP(Call_Center_Data[[#This Row],[Emp ID]],Employee[],2,FALSE)</f>
        <v>Gina Saab</v>
      </c>
      <c r="J1208" t="str">
        <f>VLOOKUP(Call_Center_Data[[#This Row],[Emp ID]], Employee[], 3, FALSE)</f>
        <v>Jacksonville, WA</v>
      </c>
      <c r="K1208" t="str">
        <f>VLOOKUP(Call_Center_Data[[#This Row],[Emp ID]], Employee[], 4, FALSE)</f>
        <v>Jenny Gill</v>
      </c>
      <c r="L1208" t="str">
        <f>VLOOKUP(Call_Center_Data[[#This Row],[Call Type ID]], Call_Type[], 2, FALSE)</f>
        <v>Billing</v>
      </c>
    </row>
    <row r="1209" spans="1:12" x14ac:dyDescent="0.3">
      <c r="A1209">
        <v>1208</v>
      </c>
      <c r="B1209">
        <v>1</v>
      </c>
      <c r="C1209" s="1">
        <v>45802</v>
      </c>
      <c r="D1209" s="2" t="s">
        <v>87</v>
      </c>
      <c r="E1209">
        <v>1</v>
      </c>
      <c r="F1209">
        <v>7</v>
      </c>
      <c r="G1209">
        <v>111</v>
      </c>
      <c r="H1209">
        <v>116</v>
      </c>
      <c r="I1209" t="str">
        <f>VLOOKUP(Call_Center_Data[[#This Row],[Emp ID]],Employee[],2,FALSE)</f>
        <v>Gina Saab</v>
      </c>
      <c r="J1209" t="str">
        <f>VLOOKUP(Call_Center_Data[[#This Row],[Emp ID]], Employee[], 3, FALSE)</f>
        <v>Jacksonville, WA</v>
      </c>
      <c r="K1209" t="str">
        <f>VLOOKUP(Call_Center_Data[[#This Row],[Emp ID]], Employee[], 4, FALSE)</f>
        <v>Jenny Gill</v>
      </c>
      <c r="L1209" t="str">
        <f>VLOOKUP(Call_Center_Data[[#This Row],[Call Type ID]], Call_Type[], 2, FALSE)</f>
        <v>Billing</v>
      </c>
    </row>
    <row r="1210" spans="1:12" x14ac:dyDescent="0.3">
      <c r="A1210">
        <v>1209</v>
      </c>
      <c r="B1210">
        <v>2</v>
      </c>
      <c r="C1210" s="1">
        <v>45803</v>
      </c>
      <c r="D1210" s="2" t="s">
        <v>86</v>
      </c>
      <c r="E1210">
        <v>0</v>
      </c>
      <c r="F1210">
        <v>13</v>
      </c>
      <c r="G1210">
        <v>189</v>
      </c>
      <c r="H1210">
        <v>107</v>
      </c>
      <c r="I1210" t="str">
        <f>VLOOKUP(Call_Center_Data[[#This Row],[Emp ID]],Employee[],2,FALSE)</f>
        <v>Jill Gilder</v>
      </c>
      <c r="J1210" t="str">
        <f>VLOOKUP(Call_Center_Data[[#This Row],[Emp ID]], Employee[], 3, FALSE)</f>
        <v>Aurora, CO</v>
      </c>
      <c r="K1210" t="str">
        <f>VLOOKUP(Call_Center_Data[[#This Row],[Emp ID]], Employee[], 4, FALSE)</f>
        <v>Jenny Baas</v>
      </c>
      <c r="L1210" t="str">
        <f>VLOOKUP(Call_Center_Data[[#This Row],[Call Type ID]], Call_Type[], 2, FALSE)</f>
        <v>Sales</v>
      </c>
    </row>
    <row r="1211" spans="1:12" x14ac:dyDescent="0.3">
      <c r="A1211">
        <v>1210</v>
      </c>
      <c r="B1211">
        <v>3</v>
      </c>
      <c r="C1211" s="1">
        <v>45804</v>
      </c>
      <c r="D1211" s="2" t="s">
        <v>86</v>
      </c>
      <c r="E1211">
        <v>1</v>
      </c>
      <c r="F1211">
        <v>21</v>
      </c>
      <c r="G1211">
        <v>171</v>
      </c>
      <c r="H1211">
        <v>253</v>
      </c>
      <c r="I1211" t="str">
        <f>VLOOKUP(Call_Center_Data[[#This Row],[Emp ID]],Employee[],2,FALSE)</f>
        <v>Jill Gilder</v>
      </c>
      <c r="J1211" t="str">
        <f>VLOOKUP(Call_Center_Data[[#This Row],[Emp ID]], Employee[], 3, FALSE)</f>
        <v>Aurora, CO</v>
      </c>
      <c r="K1211" t="str">
        <f>VLOOKUP(Call_Center_Data[[#This Row],[Emp ID]], Employee[], 4, FALSE)</f>
        <v>Jenny Baas</v>
      </c>
      <c r="L1211" t="str">
        <f>VLOOKUP(Call_Center_Data[[#This Row],[Call Type ID]], Call_Type[], 2, FALSE)</f>
        <v>Tech Sup</v>
      </c>
    </row>
    <row r="1212" spans="1:12" x14ac:dyDescent="0.3">
      <c r="A1212">
        <v>1211</v>
      </c>
      <c r="B1212">
        <v>1</v>
      </c>
      <c r="C1212" s="1">
        <v>45805</v>
      </c>
      <c r="D1212" s="2" t="s">
        <v>65</v>
      </c>
      <c r="E1212">
        <v>0</v>
      </c>
      <c r="F1212">
        <v>15</v>
      </c>
      <c r="G1212">
        <v>181</v>
      </c>
      <c r="H1212">
        <v>129</v>
      </c>
      <c r="I1212" t="str">
        <f>VLOOKUP(Call_Center_Data[[#This Row],[Emp ID]],Employee[],2,FALSE)</f>
        <v>Ultor John</v>
      </c>
      <c r="J1212" t="str">
        <f>VLOOKUP(Call_Center_Data[[#This Row],[Emp ID]], Employee[], 3, FALSE)</f>
        <v>Spokane, WA</v>
      </c>
      <c r="K1212" t="str">
        <f>VLOOKUP(Call_Center_Data[[#This Row],[Emp ID]], Employee[], 4, FALSE)</f>
        <v>John Mack</v>
      </c>
      <c r="L1212" t="str">
        <f>VLOOKUP(Call_Center_Data[[#This Row],[Call Type ID]], Call_Type[], 2, FALSE)</f>
        <v>Billing</v>
      </c>
    </row>
    <row r="1213" spans="1:12" x14ac:dyDescent="0.3">
      <c r="A1213">
        <v>1212</v>
      </c>
      <c r="B1213">
        <v>2</v>
      </c>
      <c r="C1213" s="1">
        <v>45806</v>
      </c>
      <c r="D1213" s="2" t="s">
        <v>67</v>
      </c>
      <c r="E1213">
        <v>0</v>
      </c>
      <c r="F1213">
        <v>17</v>
      </c>
      <c r="G1213">
        <v>158</v>
      </c>
      <c r="H1213">
        <v>119</v>
      </c>
      <c r="I1213" t="str">
        <f>VLOOKUP(Call_Center_Data[[#This Row],[Emp ID]],Employee[],2,FALSE)</f>
        <v>Tina Pat</v>
      </c>
      <c r="J1213" t="str">
        <f>VLOOKUP(Call_Center_Data[[#This Row],[Emp ID]], Employee[], 3, FALSE)</f>
        <v>Jacksonville, WA</v>
      </c>
      <c r="K1213" t="str">
        <f>VLOOKUP(Call_Center_Data[[#This Row],[Emp ID]], Employee[], 4, FALSE)</f>
        <v>John Hall</v>
      </c>
      <c r="L1213" t="str">
        <f>VLOOKUP(Call_Center_Data[[#This Row],[Call Type ID]], Call_Type[], 2, FALSE)</f>
        <v>Sales</v>
      </c>
    </row>
    <row r="1214" spans="1:12" x14ac:dyDescent="0.3">
      <c r="A1214">
        <v>1213</v>
      </c>
      <c r="B1214">
        <v>1</v>
      </c>
      <c r="C1214" s="1">
        <v>45807</v>
      </c>
      <c r="D1214" s="2" t="s">
        <v>69</v>
      </c>
      <c r="E1214">
        <v>1</v>
      </c>
      <c r="F1214">
        <v>21</v>
      </c>
      <c r="G1214">
        <v>166</v>
      </c>
      <c r="H1214">
        <v>165</v>
      </c>
      <c r="I1214" t="str">
        <f>VLOOKUP(Call_Center_Data[[#This Row],[Emp ID]],Employee[],2,FALSE)</f>
        <v>Sam Gilder</v>
      </c>
      <c r="J1214" t="str">
        <f>VLOOKUP(Call_Center_Data[[#This Row],[Emp ID]], Employee[], 3, FALSE)</f>
        <v>Jacksonville, WA</v>
      </c>
      <c r="K1214" t="str">
        <f>VLOOKUP(Call_Center_Data[[#This Row],[Emp ID]], Employee[], 4, FALSE)</f>
        <v>Timmy Hall</v>
      </c>
      <c r="L1214" t="str">
        <f>VLOOKUP(Call_Center_Data[[#This Row],[Call Type ID]], Call_Type[], 2, FALSE)</f>
        <v>Billing</v>
      </c>
    </row>
    <row r="1215" spans="1:12" x14ac:dyDescent="0.3">
      <c r="A1215">
        <v>1214</v>
      </c>
      <c r="B1215">
        <v>2</v>
      </c>
      <c r="C1215" s="1">
        <v>45808</v>
      </c>
      <c r="D1215" s="2" t="s">
        <v>85</v>
      </c>
      <c r="E1215">
        <v>0</v>
      </c>
      <c r="F1215">
        <v>10</v>
      </c>
      <c r="G1215">
        <v>195</v>
      </c>
      <c r="H1215">
        <v>80</v>
      </c>
      <c r="I1215" t="str">
        <f>VLOOKUP(Call_Center_Data[[#This Row],[Emp ID]],Employee[],2,FALSE)</f>
        <v>Tina Gilder</v>
      </c>
      <c r="J1215" t="str">
        <f>VLOOKUP(Call_Center_Data[[#This Row],[Emp ID]], Employee[], 3, FALSE)</f>
        <v>Spokane, WA</v>
      </c>
      <c r="K1215" t="str">
        <f>VLOOKUP(Call_Center_Data[[#This Row],[Emp ID]], Employee[], 4, FALSE)</f>
        <v>Timmy Baas</v>
      </c>
      <c r="L1215" t="str">
        <f>VLOOKUP(Call_Center_Data[[#This Row],[Call Type ID]], Call_Type[], 2, FALSE)</f>
        <v>Sales</v>
      </c>
    </row>
    <row r="1216" spans="1:12" x14ac:dyDescent="0.3">
      <c r="A1216">
        <v>1215</v>
      </c>
      <c r="B1216">
        <v>3</v>
      </c>
      <c r="C1216" s="1">
        <v>45809</v>
      </c>
      <c r="D1216" s="2" t="s">
        <v>88</v>
      </c>
      <c r="E1216">
        <v>1</v>
      </c>
      <c r="F1216">
        <v>13</v>
      </c>
      <c r="G1216">
        <v>169</v>
      </c>
      <c r="H1216">
        <v>121</v>
      </c>
      <c r="I1216" t="str">
        <f>VLOOKUP(Call_Center_Data[[#This Row],[Emp ID]],Employee[],2,FALSE)</f>
        <v>Gina Gilder</v>
      </c>
      <c r="J1216" t="str">
        <f>VLOOKUP(Call_Center_Data[[#This Row],[Emp ID]], Employee[], 3, FALSE)</f>
        <v>Jacksonville, WA</v>
      </c>
      <c r="K1216" t="str">
        <f>VLOOKUP(Call_Center_Data[[#This Row],[Emp ID]], Employee[], 4, FALSE)</f>
        <v>Pierce Rhodes</v>
      </c>
      <c r="L1216" t="str">
        <f>VLOOKUP(Call_Center_Data[[#This Row],[Call Type ID]], Call_Type[], 2, FALSE)</f>
        <v>Tech Sup</v>
      </c>
    </row>
    <row r="1217" spans="1:12" x14ac:dyDescent="0.3">
      <c r="A1217">
        <v>1216</v>
      </c>
      <c r="B1217">
        <v>1</v>
      </c>
      <c r="C1217" s="1">
        <v>45810</v>
      </c>
      <c r="D1217" s="2" t="s">
        <v>79</v>
      </c>
      <c r="E1217">
        <v>1</v>
      </c>
      <c r="F1217">
        <v>12</v>
      </c>
      <c r="G1217">
        <v>194</v>
      </c>
      <c r="H1217">
        <v>108</v>
      </c>
      <c r="I1217" t="str">
        <f>VLOOKUP(Call_Center_Data[[#This Row],[Emp ID]],Employee[],2,FALSE)</f>
        <v>Gina Simons</v>
      </c>
      <c r="J1217" t="str">
        <f>VLOOKUP(Call_Center_Data[[#This Row],[Emp ID]], Employee[], 3, FALSE)</f>
        <v>Spokane, WA</v>
      </c>
      <c r="K1217" t="str">
        <f>VLOOKUP(Call_Center_Data[[#This Row],[Emp ID]], Employee[], 4, FALSE)</f>
        <v>John Rhodes</v>
      </c>
      <c r="L1217" t="str">
        <f>VLOOKUP(Call_Center_Data[[#This Row],[Call Type ID]], Call_Type[], 2, FALSE)</f>
        <v>Billing</v>
      </c>
    </row>
    <row r="1218" spans="1:12" x14ac:dyDescent="0.3">
      <c r="A1218">
        <v>1217</v>
      </c>
      <c r="B1218">
        <v>3</v>
      </c>
      <c r="C1218" s="1">
        <v>45811</v>
      </c>
      <c r="D1218" s="2" t="s">
        <v>65</v>
      </c>
      <c r="E1218">
        <v>1</v>
      </c>
      <c r="F1218">
        <v>7</v>
      </c>
      <c r="G1218">
        <v>167</v>
      </c>
      <c r="H1218">
        <v>61</v>
      </c>
      <c r="I1218" t="str">
        <f>VLOOKUP(Call_Center_Data[[#This Row],[Emp ID]],Employee[],2,FALSE)</f>
        <v>Ultor John</v>
      </c>
      <c r="J1218" t="str">
        <f>VLOOKUP(Call_Center_Data[[#This Row],[Emp ID]], Employee[], 3, FALSE)</f>
        <v>Spokane, WA</v>
      </c>
      <c r="K1218" t="str">
        <f>VLOOKUP(Call_Center_Data[[#This Row],[Emp ID]], Employee[], 4, FALSE)</f>
        <v>John Mack</v>
      </c>
      <c r="L1218" t="str">
        <f>VLOOKUP(Call_Center_Data[[#This Row],[Call Type ID]], Call_Type[], 2, FALSE)</f>
        <v>Tech Sup</v>
      </c>
    </row>
    <row r="1219" spans="1:12" x14ac:dyDescent="0.3">
      <c r="A1219">
        <v>1218</v>
      </c>
      <c r="B1219">
        <v>2</v>
      </c>
      <c r="C1219" s="1">
        <v>45812</v>
      </c>
      <c r="D1219" s="2" t="s">
        <v>71</v>
      </c>
      <c r="E1219">
        <v>1</v>
      </c>
      <c r="F1219">
        <v>12</v>
      </c>
      <c r="G1219">
        <v>171</v>
      </c>
      <c r="H1219">
        <v>94</v>
      </c>
      <c r="I1219" t="str">
        <f>VLOOKUP(Call_Center_Data[[#This Row],[Emp ID]],Employee[],2,FALSE)</f>
        <v>Sam Pat</v>
      </c>
      <c r="J1219" t="str">
        <f>VLOOKUP(Call_Center_Data[[#This Row],[Emp ID]], Employee[], 3, FALSE)</f>
        <v>Aurora, CO</v>
      </c>
      <c r="K1219" t="str">
        <f>VLOOKUP(Call_Center_Data[[#This Row],[Emp ID]], Employee[], 4, FALSE)</f>
        <v>Henry Mack</v>
      </c>
      <c r="L1219" t="str">
        <f>VLOOKUP(Call_Center_Data[[#This Row],[Call Type ID]], Call_Type[], 2, FALSE)</f>
        <v>Sales</v>
      </c>
    </row>
    <row r="1220" spans="1:12" x14ac:dyDescent="0.3">
      <c r="A1220">
        <v>1219</v>
      </c>
      <c r="B1220">
        <v>3</v>
      </c>
      <c r="C1220" s="1">
        <v>45813</v>
      </c>
      <c r="D1220" s="2" t="s">
        <v>73</v>
      </c>
      <c r="E1220">
        <v>1</v>
      </c>
      <c r="F1220">
        <v>11</v>
      </c>
      <c r="G1220">
        <v>181</v>
      </c>
      <c r="H1220">
        <v>119</v>
      </c>
      <c r="I1220" t="str">
        <f>VLOOKUP(Call_Center_Data[[#This Row],[Emp ID]],Employee[],2,FALSE)</f>
        <v>Jill John</v>
      </c>
      <c r="J1220" t="str">
        <f>VLOOKUP(Call_Center_Data[[#This Row],[Emp ID]], Employee[], 3, FALSE)</f>
        <v>Spokane, WA</v>
      </c>
      <c r="K1220" t="str">
        <f>VLOOKUP(Call_Center_Data[[#This Row],[Emp ID]], Employee[], 4, FALSE)</f>
        <v>John Gill</v>
      </c>
      <c r="L1220" t="str">
        <f>VLOOKUP(Call_Center_Data[[#This Row],[Call Type ID]], Call_Type[], 2, FALSE)</f>
        <v>Tech Sup</v>
      </c>
    </row>
    <row r="1221" spans="1:12" x14ac:dyDescent="0.3">
      <c r="A1221">
        <v>1220</v>
      </c>
      <c r="B1221">
        <v>1</v>
      </c>
      <c r="C1221" s="1">
        <v>45814</v>
      </c>
      <c r="D1221" s="2" t="s">
        <v>86</v>
      </c>
      <c r="E1221">
        <v>1</v>
      </c>
      <c r="F1221">
        <v>17</v>
      </c>
      <c r="G1221">
        <v>171</v>
      </c>
      <c r="H1221">
        <v>100</v>
      </c>
      <c r="I1221" t="str">
        <f>VLOOKUP(Call_Center_Data[[#This Row],[Emp ID]],Employee[],2,FALSE)</f>
        <v>Jill Gilder</v>
      </c>
      <c r="J1221" t="str">
        <f>VLOOKUP(Call_Center_Data[[#This Row],[Emp ID]], Employee[], 3, FALSE)</f>
        <v>Aurora, CO</v>
      </c>
      <c r="K1221" t="str">
        <f>VLOOKUP(Call_Center_Data[[#This Row],[Emp ID]], Employee[], 4, FALSE)</f>
        <v>Jenny Baas</v>
      </c>
      <c r="L1221" t="str">
        <f>VLOOKUP(Call_Center_Data[[#This Row],[Call Type ID]], Call_Type[], 2, FALSE)</f>
        <v>Billing</v>
      </c>
    </row>
    <row r="1222" spans="1:12" x14ac:dyDescent="0.3">
      <c r="A1222">
        <v>1221</v>
      </c>
      <c r="B1222">
        <v>2</v>
      </c>
      <c r="C1222" s="1">
        <v>45815</v>
      </c>
      <c r="D1222" s="2" t="s">
        <v>75</v>
      </c>
      <c r="E1222">
        <v>0</v>
      </c>
      <c r="F1222">
        <v>6</v>
      </c>
      <c r="G1222">
        <v>186</v>
      </c>
      <c r="H1222">
        <v>174</v>
      </c>
      <c r="I1222" t="str">
        <f>VLOOKUP(Call_Center_Data[[#This Row],[Emp ID]],Employee[],2,FALSE)</f>
        <v>Gina Pat</v>
      </c>
      <c r="J1222" t="str">
        <f>VLOOKUP(Call_Center_Data[[#This Row],[Emp ID]], Employee[], 3, FALSE)</f>
        <v>Spokane, WA</v>
      </c>
      <c r="K1222" t="str">
        <f>VLOOKUP(Call_Center_Data[[#This Row],[Emp ID]], Employee[], 4, FALSE)</f>
        <v>Henry Hall</v>
      </c>
      <c r="L1222" t="str">
        <f>VLOOKUP(Call_Center_Data[[#This Row],[Call Type ID]], Call_Type[], 2, FALSE)</f>
        <v>Sales</v>
      </c>
    </row>
    <row r="1223" spans="1:12" x14ac:dyDescent="0.3">
      <c r="A1223">
        <v>1222</v>
      </c>
      <c r="B1223">
        <v>2</v>
      </c>
      <c r="C1223" s="1">
        <v>45816</v>
      </c>
      <c r="D1223" s="2" t="s">
        <v>81</v>
      </c>
      <c r="E1223">
        <v>0</v>
      </c>
      <c r="F1223">
        <v>4</v>
      </c>
      <c r="G1223">
        <v>155</v>
      </c>
      <c r="H1223">
        <v>55</v>
      </c>
      <c r="I1223" t="str">
        <f>VLOOKUP(Call_Center_Data[[#This Row],[Emp ID]],Employee[],2,FALSE)</f>
        <v>Sam Simons</v>
      </c>
      <c r="J1223" t="str">
        <f>VLOOKUP(Call_Center_Data[[#This Row],[Emp ID]], Employee[], 3, FALSE)</f>
        <v>Jacksonville, WA</v>
      </c>
      <c r="K1223" t="str">
        <f>VLOOKUP(Call_Center_Data[[#This Row],[Emp ID]], Employee[], 4, FALSE)</f>
        <v>John Baas</v>
      </c>
      <c r="L1223" t="str">
        <f>VLOOKUP(Call_Center_Data[[#This Row],[Call Type ID]], Call_Type[], 2, FALSE)</f>
        <v>Sales</v>
      </c>
    </row>
    <row r="1224" spans="1:12" x14ac:dyDescent="0.3">
      <c r="A1224">
        <v>1223</v>
      </c>
      <c r="B1224">
        <v>3</v>
      </c>
      <c r="C1224" s="1">
        <v>45817</v>
      </c>
      <c r="D1224" s="2" t="s">
        <v>88</v>
      </c>
      <c r="E1224">
        <v>1</v>
      </c>
      <c r="F1224">
        <v>14</v>
      </c>
      <c r="G1224">
        <v>222</v>
      </c>
      <c r="H1224">
        <v>97</v>
      </c>
      <c r="I1224" t="str">
        <f>VLOOKUP(Call_Center_Data[[#This Row],[Emp ID]],Employee[],2,FALSE)</f>
        <v>Gina Gilder</v>
      </c>
      <c r="J1224" t="str">
        <f>VLOOKUP(Call_Center_Data[[#This Row],[Emp ID]], Employee[], 3, FALSE)</f>
        <v>Jacksonville, WA</v>
      </c>
      <c r="K1224" t="str">
        <f>VLOOKUP(Call_Center_Data[[#This Row],[Emp ID]], Employee[], 4, FALSE)</f>
        <v>Pierce Rhodes</v>
      </c>
      <c r="L1224" t="str">
        <f>VLOOKUP(Call_Center_Data[[#This Row],[Call Type ID]], Call_Type[], 2, FALSE)</f>
        <v>Tech Sup</v>
      </c>
    </row>
    <row r="1225" spans="1:12" x14ac:dyDescent="0.3">
      <c r="A1225">
        <v>1224</v>
      </c>
      <c r="B1225">
        <v>1</v>
      </c>
      <c r="C1225" s="1">
        <v>45818</v>
      </c>
      <c r="D1225" s="2" t="s">
        <v>87</v>
      </c>
      <c r="E1225">
        <v>0</v>
      </c>
      <c r="F1225">
        <v>17</v>
      </c>
      <c r="G1225">
        <v>176</v>
      </c>
      <c r="H1225">
        <v>138</v>
      </c>
      <c r="I1225" t="str">
        <f>VLOOKUP(Call_Center_Data[[#This Row],[Emp ID]],Employee[],2,FALSE)</f>
        <v>Gina Saab</v>
      </c>
      <c r="J1225" t="str">
        <f>VLOOKUP(Call_Center_Data[[#This Row],[Emp ID]], Employee[], 3, FALSE)</f>
        <v>Jacksonville, WA</v>
      </c>
      <c r="K1225" t="str">
        <f>VLOOKUP(Call_Center_Data[[#This Row],[Emp ID]], Employee[], 4, FALSE)</f>
        <v>Jenny Gill</v>
      </c>
      <c r="L1225" t="str">
        <f>VLOOKUP(Call_Center_Data[[#This Row],[Call Type ID]], Call_Type[], 2, FALSE)</f>
        <v>Billing</v>
      </c>
    </row>
    <row r="1226" spans="1:12" x14ac:dyDescent="0.3">
      <c r="A1226">
        <v>1225</v>
      </c>
      <c r="B1226">
        <v>1</v>
      </c>
      <c r="C1226" s="1">
        <v>45819</v>
      </c>
      <c r="D1226" s="2" t="s">
        <v>68</v>
      </c>
      <c r="E1226">
        <v>0</v>
      </c>
      <c r="F1226">
        <v>13</v>
      </c>
      <c r="G1226">
        <v>173</v>
      </c>
      <c r="H1226">
        <v>116</v>
      </c>
      <c r="I1226" t="str">
        <f>VLOOKUP(Call_Center_Data[[#This Row],[Emp ID]],Employee[],2,FALSE)</f>
        <v>Tina Saab</v>
      </c>
      <c r="J1226" t="str">
        <f>VLOOKUP(Call_Center_Data[[#This Row],[Emp ID]], Employee[], 3, FALSE)</f>
        <v>Spokane, WA</v>
      </c>
      <c r="K1226" t="str">
        <f>VLOOKUP(Call_Center_Data[[#This Row],[Emp ID]], Employee[], 4, FALSE)</f>
        <v>Henry Baas</v>
      </c>
      <c r="L1226" t="str">
        <f>VLOOKUP(Call_Center_Data[[#This Row],[Call Type ID]], Call_Type[], 2, FALSE)</f>
        <v>Billing</v>
      </c>
    </row>
    <row r="1227" spans="1:12" x14ac:dyDescent="0.3">
      <c r="A1227">
        <v>1226</v>
      </c>
      <c r="B1227">
        <v>3</v>
      </c>
      <c r="C1227" s="1">
        <v>45820</v>
      </c>
      <c r="D1227" s="2" t="s">
        <v>88</v>
      </c>
      <c r="E1227">
        <v>1</v>
      </c>
      <c r="F1227">
        <v>8</v>
      </c>
      <c r="G1227">
        <v>158</v>
      </c>
      <c r="H1227">
        <v>130</v>
      </c>
      <c r="I1227" t="str">
        <f>VLOOKUP(Call_Center_Data[[#This Row],[Emp ID]],Employee[],2,FALSE)</f>
        <v>Gina Gilder</v>
      </c>
      <c r="J1227" t="str">
        <f>VLOOKUP(Call_Center_Data[[#This Row],[Emp ID]], Employee[], 3, FALSE)</f>
        <v>Jacksonville, WA</v>
      </c>
      <c r="K1227" t="str">
        <f>VLOOKUP(Call_Center_Data[[#This Row],[Emp ID]], Employee[], 4, FALSE)</f>
        <v>Pierce Rhodes</v>
      </c>
      <c r="L1227" t="str">
        <f>VLOOKUP(Call_Center_Data[[#This Row],[Call Type ID]], Call_Type[], 2, FALSE)</f>
        <v>Tech Sup</v>
      </c>
    </row>
    <row r="1228" spans="1:12" x14ac:dyDescent="0.3">
      <c r="A1228">
        <v>1227</v>
      </c>
      <c r="B1228">
        <v>2</v>
      </c>
      <c r="C1228" s="1">
        <v>45821</v>
      </c>
      <c r="D1228" s="2" t="s">
        <v>86</v>
      </c>
      <c r="E1228">
        <v>1</v>
      </c>
      <c r="F1228">
        <v>13</v>
      </c>
      <c r="G1228">
        <v>153</v>
      </c>
      <c r="H1228">
        <v>116</v>
      </c>
      <c r="I1228" t="str">
        <f>VLOOKUP(Call_Center_Data[[#This Row],[Emp ID]],Employee[],2,FALSE)</f>
        <v>Jill Gilder</v>
      </c>
      <c r="J1228" t="str">
        <f>VLOOKUP(Call_Center_Data[[#This Row],[Emp ID]], Employee[], 3, FALSE)</f>
        <v>Aurora, CO</v>
      </c>
      <c r="K1228" t="str">
        <f>VLOOKUP(Call_Center_Data[[#This Row],[Emp ID]], Employee[], 4, FALSE)</f>
        <v>Jenny Baas</v>
      </c>
      <c r="L1228" t="str">
        <f>VLOOKUP(Call_Center_Data[[#This Row],[Call Type ID]], Call_Type[], 2, FALSE)</f>
        <v>Sales</v>
      </c>
    </row>
    <row r="1229" spans="1:12" x14ac:dyDescent="0.3">
      <c r="A1229">
        <v>1228</v>
      </c>
      <c r="B1229">
        <v>2</v>
      </c>
      <c r="C1229" s="1">
        <v>45822</v>
      </c>
      <c r="D1229" s="2" t="s">
        <v>77</v>
      </c>
      <c r="E1229">
        <v>0</v>
      </c>
      <c r="F1229">
        <v>8</v>
      </c>
      <c r="G1229">
        <v>169</v>
      </c>
      <c r="H1229">
        <v>153</v>
      </c>
      <c r="I1229" t="str">
        <f>VLOOKUP(Call_Center_Data[[#This Row],[Emp ID]],Employee[],2,FALSE)</f>
        <v>Sam Saab</v>
      </c>
      <c r="J1229" t="str">
        <f>VLOOKUP(Call_Center_Data[[#This Row],[Emp ID]], Employee[], 3, FALSE)</f>
        <v>Aurora, CO</v>
      </c>
      <c r="K1229" t="str">
        <f>VLOOKUP(Call_Center_Data[[#This Row],[Emp ID]], Employee[], 4, FALSE)</f>
        <v>Timmy Mack</v>
      </c>
      <c r="L1229" t="str">
        <f>VLOOKUP(Call_Center_Data[[#This Row],[Call Type ID]], Call_Type[], 2, FALSE)</f>
        <v>Sales</v>
      </c>
    </row>
    <row r="1230" spans="1:12" x14ac:dyDescent="0.3">
      <c r="A1230">
        <v>1229</v>
      </c>
      <c r="B1230">
        <v>3</v>
      </c>
      <c r="C1230" s="1">
        <v>45823</v>
      </c>
      <c r="D1230" s="2" t="s">
        <v>76</v>
      </c>
      <c r="E1230">
        <v>1</v>
      </c>
      <c r="F1230">
        <v>4</v>
      </c>
      <c r="G1230">
        <v>206</v>
      </c>
      <c r="H1230">
        <v>57</v>
      </c>
      <c r="I1230" t="str">
        <f>VLOOKUP(Call_Center_Data[[#This Row],[Emp ID]],Employee[],2,FALSE)</f>
        <v>Ultor Saab</v>
      </c>
      <c r="J1230" t="str">
        <f>VLOOKUP(Call_Center_Data[[#This Row],[Emp ID]], Employee[], 3, FALSE)</f>
        <v>Aurora, CO</v>
      </c>
      <c r="K1230" t="str">
        <f>VLOOKUP(Call_Center_Data[[#This Row],[Emp ID]], Employee[], 4, FALSE)</f>
        <v>Pierce Baas</v>
      </c>
      <c r="L1230" t="str">
        <f>VLOOKUP(Call_Center_Data[[#This Row],[Call Type ID]], Call_Type[], 2, FALSE)</f>
        <v>Tech Sup</v>
      </c>
    </row>
    <row r="1231" spans="1:12" x14ac:dyDescent="0.3">
      <c r="A1231">
        <v>1230</v>
      </c>
      <c r="B1231">
        <v>3</v>
      </c>
      <c r="C1231" s="1">
        <v>45824</v>
      </c>
      <c r="D1231" s="2" t="s">
        <v>83</v>
      </c>
      <c r="E1231">
        <v>0</v>
      </c>
      <c r="F1231">
        <v>3</v>
      </c>
      <c r="G1231">
        <v>164</v>
      </c>
      <c r="H1231">
        <v>46</v>
      </c>
      <c r="I1231" t="str">
        <f>VLOOKUP(Call_Center_Data[[#This Row],[Emp ID]],Employee[],2,FALSE)</f>
        <v>Ultor Simons</v>
      </c>
      <c r="J1231" t="str">
        <f>VLOOKUP(Call_Center_Data[[#This Row],[Emp ID]], Employee[], 3, FALSE)</f>
        <v>Jacksonville, WA</v>
      </c>
      <c r="K1231" t="str">
        <f>VLOOKUP(Call_Center_Data[[#This Row],[Emp ID]], Employee[], 4, FALSE)</f>
        <v>Pierce Hall</v>
      </c>
      <c r="L1231" t="str">
        <f>VLOOKUP(Call_Center_Data[[#This Row],[Call Type ID]], Call_Type[], 2, FALSE)</f>
        <v>Tech Sup</v>
      </c>
    </row>
    <row r="1232" spans="1:12" x14ac:dyDescent="0.3">
      <c r="A1232">
        <v>1231</v>
      </c>
      <c r="B1232">
        <v>2</v>
      </c>
      <c r="C1232" s="1">
        <v>45825</v>
      </c>
      <c r="D1232" s="2" t="s">
        <v>68</v>
      </c>
      <c r="E1232">
        <v>1</v>
      </c>
      <c r="F1232">
        <v>8</v>
      </c>
      <c r="G1232">
        <v>158</v>
      </c>
      <c r="H1232">
        <v>514</v>
      </c>
      <c r="I1232" t="str">
        <f>VLOOKUP(Call_Center_Data[[#This Row],[Emp ID]],Employee[],2,FALSE)</f>
        <v>Tina Saab</v>
      </c>
      <c r="J1232" t="str">
        <f>VLOOKUP(Call_Center_Data[[#This Row],[Emp ID]], Employee[], 3, FALSE)</f>
        <v>Spokane, WA</v>
      </c>
      <c r="K1232" t="str">
        <f>VLOOKUP(Call_Center_Data[[#This Row],[Emp ID]], Employee[], 4, FALSE)</f>
        <v>Henry Baas</v>
      </c>
      <c r="L1232" t="str">
        <f>VLOOKUP(Call_Center_Data[[#This Row],[Call Type ID]], Call_Type[], 2, FALSE)</f>
        <v>Sales</v>
      </c>
    </row>
    <row r="1233" spans="1:12" x14ac:dyDescent="0.3">
      <c r="A1233">
        <v>1232</v>
      </c>
      <c r="B1233">
        <v>2</v>
      </c>
      <c r="C1233" s="1">
        <v>45826</v>
      </c>
      <c r="D1233" s="2" t="s">
        <v>87</v>
      </c>
      <c r="E1233">
        <v>1</v>
      </c>
      <c r="F1233">
        <v>4</v>
      </c>
      <c r="G1233">
        <v>160</v>
      </c>
      <c r="H1233">
        <v>58</v>
      </c>
      <c r="I1233" t="str">
        <f>VLOOKUP(Call_Center_Data[[#This Row],[Emp ID]],Employee[],2,FALSE)</f>
        <v>Gina Saab</v>
      </c>
      <c r="J1233" t="str">
        <f>VLOOKUP(Call_Center_Data[[#This Row],[Emp ID]], Employee[], 3, FALSE)</f>
        <v>Jacksonville, WA</v>
      </c>
      <c r="K1233" t="str">
        <f>VLOOKUP(Call_Center_Data[[#This Row],[Emp ID]], Employee[], 4, FALSE)</f>
        <v>Jenny Gill</v>
      </c>
      <c r="L1233" t="str">
        <f>VLOOKUP(Call_Center_Data[[#This Row],[Call Type ID]], Call_Type[], 2, FALSE)</f>
        <v>Sales</v>
      </c>
    </row>
    <row r="1234" spans="1:12" x14ac:dyDescent="0.3">
      <c r="A1234">
        <v>1233</v>
      </c>
      <c r="B1234">
        <v>2</v>
      </c>
      <c r="C1234" s="1">
        <v>45827</v>
      </c>
      <c r="D1234" s="2" t="s">
        <v>65</v>
      </c>
      <c r="E1234">
        <v>1</v>
      </c>
      <c r="F1234">
        <v>9</v>
      </c>
      <c r="G1234">
        <v>167</v>
      </c>
      <c r="H1234">
        <v>106</v>
      </c>
      <c r="I1234" t="str">
        <f>VLOOKUP(Call_Center_Data[[#This Row],[Emp ID]],Employee[],2,FALSE)</f>
        <v>Ultor John</v>
      </c>
      <c r="J1234" t="str">
        <f>VLOOKUP(Call_Center_Data[[#This Row],[Emp ID]], Employee[], 3, FALSE)</f>
        <v>Spokane, WA</v>
      </c>
      <c r="K1234" t="str">
        <f>VLOOKUP(Call_Center_Data[[#This Row],[Emp ID]], Employee[], 4, FALSE)</f>
        <v>John Mack</v>
      </c>
      <c r="L1234" t="str">
        <f>VLOOKUP(Call_Center_Data[[#This Row],[Call Type ID]], Call_Type[], 2, FALSE)</f>
        <v>Sales</v>
      </c>
    </row>
    <row r="1235" spans="1:12" x14ac:dyDescent="0.3">
      <c r="A1235">
        <v>1234</v>
      </c>
      <c r="B1235">
        <v>3</v>
      </c>
      <c r="C1235" s="1">
        <v>45828</v>
      </c>
      <c r="D1235" s="2" t="s">
        <v>86</v>
      </c>
      <c r="E1235">
        <v>0</v>
      </c>
      <c r="F1235">
        <v>8</v>
      </c>
      <c r="G1235">
        <v>162</v>
      </c>
      <c r="H1235">
        <v>103</v>
      </c>
      <c r="I1235" t="str">
        <f>VLOOKUP(Call_Center_Data[[#This Row],[Emp ID]],Employee[],2,FALSE)</f>
        <v>Jill Gilder</v>
      </c>
      <c r="J1235" t="str">
        <f>VLOOKUP(Call_Center_Data[[#This Row],[Emp ID]], Employee[], 3, FALSE)</f>
        <v>Aurora, CO</v>
      </c>
      <c r="K1235" t="str">
        <f>VLOOKUP(Call_Center_Data[[#This Row],[Emp ID]], Employee[], 4, FALSE)</f>
        <v>Jenny Baas</v>
      </c>
      <c r="L1235" t="str">
        <f>VLOOKUP(Call_Center_Data[[#This Row],[Call Type ID]], Call_Type[], 2, FALSE)</f>
        <v>Tech Sup</v>
      </c>
    </row>
    <row r="1236" spans="1:12" x14ac:dyDescent="0.3">
      <c r="A1236">
        <v>1235</v>
      </c>
      <c r="B1236">
        <v>3</v>
      </c>
      <c r="C1236" s="1">
        <v>45829</v>
      </c>
      <c r="D1236" s="2" t="s">
        <v>64</v>
      </c>
      <c r="E1236">
        <v>1</v>
      </c>
      <c r="F1236">
        <v>4</v>
      </c>
      <c r="G1236">
        <v>159</v>
      </c>
      <c r="H1236">
        <v>48</v>
      </c>
      <c r="I1236" t="str">
        <f>VLOOKUP(Call_Center_Data[[#This Row],[Emp ID]],Employee[],2,FALSE)</f>
        <v>Jill Simons</v>
      </c>
      <c r="J1236" t="str">
        <f>VLOOKUP(Call_Center_Data[[#This Row],[Emp ID]], Employee[], 3, FALSE)</f>
        <v>Spokane, WA</v>
      </c>
      <c r="K1236" t="str">
        <f>VLOOKUP(Call_Center_Data[[#This Row],[Emp ID]], Employee[], 4, FALSE)</f>
        <v>Jenny Rhodes</v>
      </c>
      <c r="L1236" t="str">
        <f>VLOOKUP(Call_Center_Data[[#This Row],[Call Type ID]], Call_Type[], 2, FALSE)</f>
        <v>Tech Sup</v>
      </c>
    </row>
    <row r="1237" spans="1:12" x14ac:dyDescent="0.3">
      <c r="A1237">
        <v>1236</v>
      </c>
      <c r="B1237">
        <v>3</v>
      </c>
      <c r="C1237" s="1">
        <v>45830</v>
      </c>
      <c r="D1237" s="2" t="s">
        <v>74</v>
      </c>
      <c r="E1237">
        <v>1</v>
      </c>
      <c r="F1237">
        <v>6</v>
      </c>
      <c r="G1237">
        <v>159</v>
      </c>
      <c r="H1237">
        <v>61</v>
      </c>
      <c r="I1237" t="str">
        <f>VLOOKUP(Call_Center_Data[[#This Row],[Emp ID]],Employee[],2,FALSE)</f>
        <v>Gina John</v>
      </c>
      <c r="J1237" t="str">
        <f>VLOOKUP(Call_Center_Data[[#This Row],[Emp ID]], Employee[], 3, FALSE)</f>
        <v>Jacksonville, WA</v>
      </c>
      <c r="K1237" t="str">
        <f>VLOOKUP(Call_Center_Data[[#This Row],[Emp ID]], Employee[], 4, FALSE)</f>
        <v>Henry Gill</v>
      </c>
      <c r="L1237" t="str">
        <f>VLOOKUP(Call_Center_Data[[#This Row],[Call Type ID]], Call_Type[], 2, FALSE)</f>
        <v>Tech Sup</v>
      </c>
    </row>
    <row r="1238" spans="1:12" x14ac:dyDescent="0.3">
      <c r="A1238">
        <v>1237</v>
      </c>
      <c r="B1238">
        <v>2</v>
      </c>
      <c r="C1238" s="1">
        <v>45831</v>
      </c>
      <c r="D1238" s="2" t="s">
        <v>86</v>
      </c>
      <c r="E1238">
        <v>0</v>
      </c>
      <c r="F1238">
        <v>3</v>
      </c>
      <c r="G1238">
        <v>147</v>
      </c>
      <c r="H1238">
        <v>3</v>
      </c>
      <c r="I1238" t="str">
        <f>VLOOKUP(Call_Center_Data[[#This Row],[Emp ID]],Employee[],2,FALSE)</f>
        <v>Jill Gilder</v>
      </c>
      <c r="J1238" t="str">
        <f>VLOOKUP(Call_Center_Data[[#This Row],[Emp ID]], Employee[], 3, FALSE)</f>
        <v>Aurora, CO</v>
      </c>
      <c r="K1238" t="str">
        <f>VLOOKUP(Call_Center_Data[[#This Row],[Emp ID]], Employee[], 4, FALSE)</f>
        <v>Jenny Baas</v>
      </c>
      <c r="L1238" t="str">
        <f>VLOOKUP(Call_Center_Data[[#This Row],[Call Type ID]], Call_Type[], 2, FALSE)</f>
        <v>Sales</v>
      </c>
    </row>
    <row r="1239" spans="1:12" x14ac:dyDescent="0.3">
      <c r="A1239">
        <v>1238</v>
      </c>
      <c r="B1239">
        <v>3</v>
      </c>
      <c r="C1239" s="1">
        <v>45832</v>
      </c>
      <c r="D1239" s="2" t="s">
        <v>67</v>
      </c>
      <c r="E1239">
        <v>0</v>
      </c>
      <c r="F1239">
        <v>14</v>
      </c>
      <c r="G1239">
        <v>157</v>
      </c>
      <c r="H1239">
        <v>156</v>
      </c>
      <c r="I1239" t="str">
        <f>VLOOKUP(Call_Center_Data[[#This Row],[Emp ID]],Employee[],2,FALSE)</f>
        <v>Tina Pat</v>
      </c>
      <c r="J1239" t="str">
        <f>VLOOKUP(Call_Center_Data[[#This Row],[Emp ID]], Employee[], 3, FALSE)</f>
        <v>Jacksonville, WA</v>
      </c>
      <c r="K1239" t="str">
        <f>VLOOKUP(Call_Center_Data[[#This Row],[Emp ID]], Employee[], 4, FALSE)</f>
        <v>John Hall</v>
      </c>
      <c r="L1239" t="str">
        <f>VLOOKUP(Call_Center_Data[[#This Row],[Call Type ID]], Call_Type[], 2, FALSE)</f>
        <v>Tech Sup</v>
      </c>
    </row>
    <row r="1240" spans="1:12" x14ac:dyDescent="0.3">
      <c r="A1240">
        <v>1239</v>
      </c>
      <c r="B1240">
        <v>2</v>
      </c>
      <c r="C1240" s="1">
        <v>45833</v>
      </c>
      <c r="D1240" s="2" t="s">
        <v>64</v>
      </c>
      <c r="E1240">
        <v>1</v>
      </c>
      <c r="F1240">
        <v>16</v>
      </c>
      <c r="G1240">
        <v>150</v>
      </c>
      <c r="H1240">
        <v>176</v>
      </c>
      <c r="I1240" t="str">
        <f>VLOOKUP(Call_Center_Data[[#This Row],[Emp ID]],Employee[],2,FALSE)</f>
        <v>Jill Simons</v>
      </c>
      <c r="J1240" t="str">
        <f>VLOOKUP(Call_Center_Data[[#This Row],[Emp ID]], Employee[], 3, FALSE)</f>
        <v>Spokane, WA</v>
      </c>
      <c r="K1240" t="str">
        <f>VLOOKUP(Call_Center_Data[[#This Row],[Emp ID]], Employee[], 4, FALSE)</f>
        <v>Jenny Rhodes</v>
      </c>
      <c r="L1240" t="str">
        <f>VLOOKUP(Call_Center_Data[[#This Row],[Call Type ID]], Call_Type[], 2, FALSE)</f>
        <v>Sales</v>
      </c>
    </row>
    <row r="1241" spans="1:12" x14ac:dyDescent="0.3">
      <c r="A1241">
        <v>1240</v>
      </c>
      <c r="B1241">
        <v>3</v>
      </c>
      <c r="C1241" s="1">
        <v>45834</v>
      </c>
      <c r="D1241" s="2" t="s">
        <v>78</v>
      </c>
      <c r="E1241">
        <v>0</v>
      </c>
      <c r="F1241">
        <v>12</v>
      </c>
      <c r="G1241">
        <v>162</v>
      </c>
      <c r="H1241">
        <v>170</v>
      </c>
      <c r="I1241" t="str">
        <f>VLOOKUP(Call_Center_Data[[#This Row],[Emp ID]],Employee[],2,FALSE)</f>
        <v>Jill Saab</v>
      </c>
      <c r="J1241" t="str">
        <f>VLOOKUP(Call_Center_Data[[#This Row],[Emp ID]], Employee[], 3, FALSE)</f>
        <v>Spokane, WA</v>
      </c>
      <c r="K1241" t="str">
        <f>VLOOKUP(Call_Center_Data[[#This Row],[Emp ID]], Employee[], 4, FALSE)</f>
        <v>Timmy Gill</v>
      </c>
      <c r="L1241" t="str">
        <f>VLOOKUP(Call_Center_Data[[#This Row],[Call Type ID]], Call_Type[], 2, FALSE)</f>
        <v>Tech Sup</v>
      </c>
    </row>
    <row r="1242" spans="1:12" x14ac:dyDescent="0.3">
      <c r="A1242">
        <v>1241</v>
      </c>
      <c r="B1242">
        <v>3</v>
      </c>
      <c r="C1242" s="1">
        <v>45835</v>
      </c>
      <c r="D1242" s="2" t="s">
        <v>78</v>
      </c>
      <c r="E1242">
        <v>0</v>
      </c>
      <c r="F1242">
        <v>14</v>
      </c>
      <c r="G1242">
        <v>171</v>
      </c>
      <c r="H1242">
        <v>354</v>
      </c>
      <c r="I1242" t="str">
        <f>VLOOKUP(Call_Center_Data[[#This Row],[Emp ID]],Employee[],2,FALSE)</f>
        <v>Jill Saab</v>
      </c>
      <c r="J1242" t="str">
        <f>VLOOKUP(Call_Center_Data[[#This Row],[Emp ID]], Employee[], 3, FALSE)</f>
        <v>Spokane, WA</v>
      </c>
      <c r="K1242" t="str">
        <f>VLOOKUP(Call_Center_Data[[#This Row],[Emp ID]], Employee[], 4, FALSE)</f>
        <v>Timmy Gill</v>
      </c>
      <c r="L1242" t="str">
        <f>VLOOKUP(Call_Center_Data[[#This Row],[Call Type ID]], Call_Type[], 2, FALSE)</f>
        <v>Tech Sup</v>
      </c>
    </row>
    <row r="1243" spans="1:12" x14ac:dyDescent="0.3">
      <c r="A1243">
        <v>1242</v>
      </c>
      <c r="B1243">
        <v>2</v>
      </c>
      <c r="C1243" s="1">
        <v>45836</v>
      </c>
      <c r="D1243" s="2" t="s">
        <v>66</v>
      </c>
      <c r="E1243">
        <v>0</v>
      </c>
      <c r="F1243">
        <v>15</v>
      </c>
      <c r="G1243">
        <v>166</v>
      </c>
      <c r="H1243">
        <v>174</v>
      </c>
      <c r="I1243" t="str">
        <f>VLOOKUP(Call_Center_Data[[#This Row],[Emp ID]],Employee[],2,FALSE)</f>
        <v>Tina John</v>
      </c>
      <c r="J1243" t="str">
        <f>VLOOKUP(Call_Center_Data[[#This Row],[Emp ID]], Employee[], 3, FALSE)</f>
        <v>Aurora, CO</v>
      </c>
      <c r="K1243" t="str">
        <f>VLOOKUP(Call_Center_Data[[#This Row],[Emp ID]], Employee[], 4, FALSE)</f>
        <v>Timmy Rhodes</v>
      </c>
      <c r="L1243" t="str">
        <f>VLOOKUP(Call_Center_Data[[#This Row],[Call Type ID]], Call_Type[], 2, FALSE)</f>
        <v>Sales</v>
      </c>
    </row>
    <row r="1244" spans="1:12" x14ac:dyDescent="0.3">
      <c r="A1244">
        <v>1243</v>
      </c>
      <c r="B1244">
        <v>3</v>
      </c>
      <c r="C1244" s="1">
        <v>45837</v>
      </c>
      <c r="D1244" s="2" t="s">
        <v>72</v>
      </c>
      <c r="E1244">
        <v>0</v>
      </c>
      <c r="F1244">
        <v>16</v>
      </c>
      <c r="G1244">
        <v>169</v>
      </c>
      <c r="H1244">
        <v>208</v>
      </c>
      <c r="I1244" t="str">
        <f>VLOOKUP(Call_Center_Data[[#This Row],[Emp ID]],Employee[],2,FALSE)</f>
        <v>Ultor Pat</v>
      </c>
      <c r="J1244" t="str">
        <f>VLOOKUP(Call_Center_Data[[#This Row],[Emp ID]], Employee[], 3, FALSE)</f>
        <v>Jacksonville, WA</v>
      </c>
      <c r="K1244" t="str">
        <f>VLOOKUP(Call_Center_Data[[#This Row],[Emp ID]], Employee[], 4, FALSE)</f>
        <v>Jenny Hall</v>
      </c>
      <c r="L1244" t="str">
        <f>VLOOKUP(Call_Center_Data[[#This Row],[Call Type ID]], Call_Type[], 2, FALSE)</f>
        <v>Tech Sup</v>
      </c>
    </row>
    <row r="1245" spans="1:12" x14ac:dyDescent="0.3">
      <c r="A1245">
        <v>1244</v>
      </c>
      <c r="B1245">
        <v>1</v>
      </c>
      <c r="C1245" s="1">
        <v>45838</v>
      </c>
      <c r="D1245" s="2" t="s">
        <v>71</v>
      </c>
      <c r="E1245">
        <v>0</v>
      </c>
      <c r="F1245">
        <v>10</v>
      </c>
      <c r="G1245">
        <v>182</v>
      </c>
      <c r="H1245">
        <v>62</v>
      </c>
      <c r="I1245" t="str">
        <f>VLOOKUP(Call_Center_Data[[#This Row],[Emp ID]],Employee[],2,FALSE)</f>
        <v>Sam Pat</v>
      </c>
      <c r="J1245" t="str">
        <f>VLOOKUP(Call_Center_Data[[#This Row],[Emp ID]], Employee[], 3, FALSE)</f>
        <v>Aurora, CO</v>
      </c>
      <c r="K1245" t="str">
        <f>VLOOKUP(Call_Center_Data[[#This Row],[Emp ID]], Employee[], 4, FALSE)</f>
        <v>Henry Mack</v>
      </c>
      <c r="L1245" t="str">
        <f>VLOOKUP(Call_Center_Data[[#This Row],[Call Type ID]], Call_Type[], 2, FALSE)</f>
        <v>Billing</v>
      </c>
    </row>
    <row r="1246" spans="1:12" x14ac:dyDescent="0.3">
      <c r="A1246">
        <v>1245</v>
      </c>
      <c r="B1246">
        <v>2</v>
      </c>
      <c r="C1246" s="1">
        <v>45839</v>
      </c>
      <c r="D1246" s="2" t="s">
        <v>67</v>
      </c>
      <c r="E1246">
        <v>0</v>
      </c>
      <c r="F1246">
        <v>10</v>
      </c>
      <c r="G1246">
        <v>157</v>
      </c>
      <c r="H1246">
        <v>217</v>
      </c>
      <c r="I1246" t="str">
        <f>VLOOKUP(Call_Center_Data[[#This Row],[Emp ID]],Employee[],2,FALSE)</f>
        <v>Tina Pat</v>
      </c>
      <c r="J1246" t="str">
        <f>VLOOKUP(Call_Center_Data[[#This Row],[Emp ID]], Employee[], 3, FALSE)</f>
        <v>Jacksonville, WA</v>
      </c>
      <c r="K1246" t="str">
        <f>VLOOKUP(Call_Center_Data[[#This Row],[Emp ID]], Employee[], 4, FALSE)</f>
        <v>John Hall</v>
      </c>
      <c r="L1246" t="str">
        <f>VLOOKUP(Call_Center_Data[[#This Row],[Call Type ID]], Call_Type[], 2, FALSE)</f>
        <v>Sales</v>
      </c>
    </row>
    <row r="1247" spans="1:12" x14ac:dyDescent="0.3">
      <c r="A1247">
        <v>1246</v>
      </c>
      <c r="B1247">
        <v>3</v>
      </c>
      <c r="C1247" s="1">
        <v>45840</v>
      </c>
      <c r="D1247" s="2" t="s">
        <v>71</v>
      </c>
      <c r="E1247">
        <v>1</v>
      </c>
      <c r="F1247">
        <v>11</v>
      </c>
      <c r="G1247">
        <v>167</v>
      </c>
      <c r="H1247">
        <v>112</v>
      </c>
      <c r="I1247" t="str">
        <f>VLOOKUP(Call_Center_Data[[#This Row],[Emp ID]],Employee[],2,FALSE)</f>
        <v>Sam Pat</v>
      </c>
      <c r="J1247" t="str">
        <f>VLOOKUP(Call_Center_Data[[#This Row],[Emp ID]], Employee[], 3, FALSE)</f>
        <v>Aurora, CO</v>
      </c>
      <c r="K1247" t="str">
        <f>VLOOKUP(Call_Center_Data[[#This Row],[Emp ID]], Employee[], 4, FALSE)</f>
        <v>Henry Mack</v>
      </c>
      <c r="L1247" t="str">
        <f>VLOOKUP(Call_Center_Data[[#This Row],[Call Type ID]], Call_Type[], 2, FALSE)</f>
        <v>Tech Sup</v>
      </c>
    </row>
    <row r="1248" spans="1:12" x14ac:dyDescent="0.3">
      <c r="A1248">
        <v>1247</v>
      </c>
      <c r="B1248">
        <v>2</v>
      </c>
      <c r="C1248" s="1">
        <v>45841</v>
      </c>
      <c r="D1248" s="2" t="s">
        <v>80</v>
      </c>
      <c r="E1248">
        <v>1</v>
      </c>
      <c r="F1248">
        <v>7</v>
      </c>
      <c r="G1248">
        <v>170</v>
      </c>
      <c r="H1248">
        <v>116</v>
      </c>
      <c r="I1248" t="str">
        <f>VLOOKUP(Call_Center_Data[[#This Row],[Emp ID]],Employee[],2,FALSE)</f>
        <v>Tina Simons</v>
      </c>
      <c r="J1248" t="str">
        <f>VLOOKUP(Call_Center_Data[[#This Row],[Emp ID]], Employee[], 3, FALSE)</f>
        <v>Aurora, CO</v>
      </c>
      <c r="K1248" t="str">
        <f>VLOOKUP(Call_Center_Data[[#This Row],[Emp ID]], Employee[], 4, FALSE)</f>
        <v>Pierce Gill</v>
      </c>
      <c r="L1248" t="str">
        <f>VLOOKUP(Call_Center_Data[[#This Row],[Call Type ID]], Call_Type[], 2, FALSE)</f>
        <v>Sales</v>
      </c>
    </row>
    <row r="1249" spans="1:12" x14ac:dyDescent="0.3">
      <c r="A1249">
        <v>1248</v>
      </c>
      <c r="B1249">
        <v>2</v>
      </c>
      <c r="C1249" s="1">
        <v>45842</v>
      </c>
      <c r="D1249" s="2" t="s">
        <v>75</v>
      </c>
      <c r="E1249">
        <v>1</v>
      </c>
      <c r="F1249">
        <v>10</v>
      </c>
      <c r="G1249">
        <v>171</v>
      </c>
      <c r="H1249">
        <v>105</v>
      </c>
      <c r="I1249" t="str">
        <f>VLOOKUP(Call_Center_Data[[#This Row],[Emp ID]],Employee[],2,FALSE)</f>
        <v>Gina Pat</v>
      </c>
      <c r="J1249" t="str">
        <f>VLOOKUP(Call_Center_Data[[#This Row],[Emp ID]], Employee[], 3, FALSE)</f>
        <v>Spokane, WA</v>
      </c>
      <c r="K1249" t="str">
        <f>VLOOKUP(Call_Center_Data[[#This Row],[Emp ID]], Employee[], 4, FALSE)</f>
        <v>Henry Hall</v>
      </c>
      <c r="L1249" t="str">
        <f>VLOOKUP(Call_Center_Data[[#This Row],[Call Type ID]], Call_Type[], 2, FALSE)</f>
        <v>Sales</v>
      </c>
    </row>
    <row r="1250" spans="1:12" x14ac:dyDescent="0.3">
      <c r="A1250">
        <v>1249</v>
      </c>
      <c r="B1250">
        <v>2</v>
      </c>
      <c r="C1250" s="1">
        <v>45843</v>
      </c>
      <c r="D1250" s="2" t="s">
        <v>86</v>
      </c>
      <c r="E1250">
        <v>1</v>
      </c>
      <c r="F1250">
        <v>12</v>
      </c>
      <c r="G1250">
        <v>202</v>
      </c>
      <c r="H1250">
        <v>232</v>
      </c>
      <c r="I1250" t="str">
        <f>VLOOKUP(Call_Center_Data[[#This Row],[Emp ID]],Employee[],2,FALSE)</f>
        <v>Jill Gilder</v>
      </c>
      <c r="J1250" t="str">
        <f>VLOOKUP(Call_Center_Data[[#This Row],[Emp ID]], Employee[], 3, FALSE)</f>
        <v>Aurora, CO</v>
      </c>
      <c r="K1250" t="str">
        <f>VLOOKUP(Call_Center_Data[[#This Row],[Emp ID]], Employee[], 4, FALSE)</f>
        <v>Jenny Baas</v>
      </c>
      <c r="L1250" t="str">
        <f>VLOOKUP(Call_Center_Data[[#This Row],[Call Type ID]], Call_Type[], 2, FALSE)</f>
        <v>Sales</v>
      </c>
    </row>
    <row r="1251" spans="1:12" x14ac:dyDescent="0.3">
      <c r="A1251">
        <v>1250</v>
      </c>
      <c r="B1251">
        <v>1</v>
      </c>
      <c r="C1251" s="1">
        <v>45844</v>
      </c>
      <c r="D1251" s="2" t="s">
        <v>67</v>
      </c>
      <c r="E1251">
        <v>1</v>
      </c>
      <c r="F1251">
        <v>16</v>
      </c>
      <c r="G1251">
        <v>196</v>
      </c>
      <c r="H1251">
        <v>162</v>
      </c>
      <c r="I1251" t="str">
        <f>VLOOKUP(Call_Center_Data[[#This Row],[Emp ID]],Employee[],2,FALSE)</f>
        <v>Tina Pat</v>
      </c>
      <c r="J1251" t="str">
        <f>VLOOKUP(Call_Center_Data[[#This Row],[Emp ID]], Employee[], 3, FALSE)</f>
        <v>Jacksonville, WA</v>
      </c>
      <c r="K1251" t="str">
        <f>VLOOKUP(Call_Center_Data[[#This Row],[Emp ID]], Employee[], 4, FALSE)</f>
        <v>John Hall</v>
      </c>
      <c r="L1251" t="str">
        <f>VLOOKUP(Call_Center_Data[[#This Row],[Call Type ID]], Call_Type[], 2, FALSE)</f>
        <v>Billing</v>
      </c>
    </row>
    <row r="1252" spans="1:12" x14ac:dyDescent="0.3">
      <c r="A1252">
        <v>1251</v>
      </c>
      <c r="B1252">
        <v>3</v>
      </c>
      <c r="C1252" s="1">
        <v>45845</v>
      </c>
      <c r="D1252" s="2" t="s">
        <v>76</v>
      </c>
      <c r="E1252">
        <v>0</v>
      </c>
      <c r="F1252">
        <v>3</v>
      </c>
      <c r="G1252">
        <v>132</v>
      </c>
      <c r="H1252">
        <v>58</v>
      </c>
      <c r="I1252" t="str">
        <f>VLOOKUP(Call_Center_Data[[#This Row],[Emp ID]],Employee[],2,FALSE)</f>
        <v>Ultor Saab</v>
      </c>
      <c r="J1252" t="str">
        <f>VLOOKUP(Call_Center_Data[[#This Row],[Emp ID]], Employee[], 3, FALSE)</f>
        <v>Aurora, CO</v>
      </c>
      <c r="K1252" t="str">
        <f>VLOOKUP(Call_Center_Data[[#This Row],[Emp ID]], Employee[], 4, FALSE)</f>
        <v>Pierce Baas</v>
      </c>
      <c r="L1252" t="str">
        <f>VLOOKUP(Call_Center_Data[[#This Row],[Call Type ID]], Call_Type[], 2, FALSE)</f>
        <v>Tech Sup</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BBC4-354E-43F8-93A5-DD808DAF0A21}">
  <dimension ref="A1:E26"/>
  <sheetViews>
    <sheetView workbookViewId="0">
      <selection activeCell="B16" sqref="B16"/>
    </sheetView>
  </sheetViews>
  <sheetFormatPr defaultRowHeight="14.4" x14ac:dyDescent="0.3"/>
  <cols>
    <col min="2" max="2" width="12.44140625" bestFit="1" customWidth="1"/>
    <col min="3" max="3" width="14.44140625" bestFit="1" customWidth="1"/>
    <col min="4" max="4" width="16.33203125" bestFit="1" customWidth="1"/>
  </cols>
  <sheetData>
    <row r="1" spans="1:5" x14ac:dyDescent="0.3">
      <c r="A1" t="s">
        <v>63</v>
      </c>
      <c r="B1" t="s">
        <v>1</v>
      </c>
      <c r="C1" t="s">
        <v>2</v>
      </c>
      <c r="D1" t="s">
        <v>3</v>
      </c>
    </row>
    <row r="2" spans="1:5" x14ac:dyDescent="0.3">
      <c r="A2" t="s">
        <v>64</v>
      </c>
      <c r="B2" s="2" t="s">
        <v>4</v>
      </c>
      <c r="C2" t="s">
        <v>5</v>
      </c>
      <c r="D2" t="s">
        <v>6</v>
      </c>
    </row>
    <row r="3" spans="1:5" x14ac:dyDescent="0.3">
      <c r="A3" t="s">
        <v>65</v>
      </c>
      <c r="B3" s="2" t="s">
        <v>8</v>
      </c>
      <c r="C3" t="s">
        <v>5</v>
      </c>
      <c r="D3" t="s">
        <v>9</v>
      </c>
    </row>
    <row r="4" spans="1:5" x14ac:dyDescent="0.3">
      <c r="A4" t="s">
        <v>66</v>
      </c>
      <c r="B4" s="2" t="s">
        <v>10</v>
      </c>
      <c r="C4" t="s">
        <v>11</v>
      </c>
      <c r="D4" t="s">
        <v>12</v>
      </c>
    </row>
    <row r="5" spans="1:5" x14ac:dyDescent="0.3">
      <c r="A5" t="s">
        <v>67</v>
      </c>
      <c r="B5" s="2" t="s">
        <v>14</v>
      </c>
      <c r="C5" t="s">
        <v>89</v>
      </c>
      <c r="D5" t="s">
        <v>15</v>
      </c>
    </row>
    <row r="6" spans="1:5" x14ac:dyDescent="0.3">
      <c r="A6" t="s">
        <v>68</v>
      </c>
      <c r="B6" s="2" t="s">
        <v>16</v>
      </c>
      <c r="C6" t="s">
        <v>5</v>
      </c>
      <c r="D6" t="s">
        <v>17</v>
      </c>
      <c r="E6" s="3"/>
    </row>
    <row r="7" spans="1:5" x14ac:dyDescent="0.3">
      <c r="A7" t="s">
        <v>69</v>
      </c>
      <c r="B7" s="2" t="s">
        <v>18</v>
      </c>
      <c r="C7" t="s">
        <v>89</v>
      </c>
      <c r="D7" t="s">
        <v>21</v>
      </c>
    </row>
    <row r="8" spans="1:5" x14ac:dyDescent="0.3">
      <c r="A8" t="s">
        <v>70</v>
      </c>
      <c r="B8" s="2" t="s">
        <v>20</v>
      </c>
      <c r="C8" t="s">
        <v>11</v>
      </c>
      <c r="D8" t="s">
        <v>23</v>
      </c>
    </row>
    <row r="9" spans="1:5" x14ac:dyDescent="0.3">
      <c r="A9" t="s">
        <v>71</v>
      </c>
      <c r="B9" s="2" t="s">
        <v>22</v>
      </c>
      <c r="C9" t="s">
        <v>11</v>
      </c>
      <c r="D9" t="s">
        <v>25</v>
      </c>
    </row>
    <row r="10" spans="1:5" x14ac:dyDescent="0.3">
      <c r="A10" t="s">
        <v>72</v>
      </c>
      <c r="B10" s="2" t="s">
        <v>24</v>
      </c>
      <c r="C10" t="s">
        <v>89</v>
      </c>
      <c r="D10" t="s">
        <v>26</v>
      </c>
    </row>
    <row r="11" spans="1:5" x14ac:dyDescent="0.3">
      <c r="A11" t="s">
        <v>73</v>
      </c>
      <c r="B11" s="2" t="s">
        <v>29</v>
      </c>
      <c r="C11" t="s">
        <v>5</v>
      </c>
      <c r="D11" t="s">
        <v>27</v>
      </c>
    </row>
    <row r="12" spans="1:5" x14ac:dyDescent="0.3">
      <c r="A12" t="s">
        <v>74</v>
      </c>
      <c r="B12" s="2" t="s">
        <v>30</v>
      </c>
      <c r="C12" t="s">
        <v>89</v>
      </c>
      <c r="D12" t="s">
        <v>28</v>
      </c>
    </row>
    <row r="13" spans="1:5" x14ac:dyDescent="0.3">
      <c r="A13" t="s">
        <v>75</v>
      </c>
      <c r="B13" s="2" t="s">
        <v>31</v>
      </c>
      <c r="C13" t="s">
        <v>5</v>
      </c>
      <c r="D13" t="s">
        <v>32</v>
      </c>
    </row>
    <row r="14" spans="1:5" x14ac:dyDescent="0.3">
      <c r="A14" t="s">
        <v>76</v>
      </c>
      <c r="B14" s="2" t="s">
        <v>35</v>
      </c>
      <c r="C14" t="s">
        <v>11</v>
      </c>
      <c r="D14" t="s">
        <v>33</v>
      </c>
    </row>
    <row r="15" spans="1:5" x14ac:dyDescent="0.3">
      <c r="A15" t="s">
        <v>77</v>
      </c>
      <c r="B15" s="2" t="s">
        <v>36</v>
      </c>
      <c r="C15" t="s">
        <v>11</v>
      </c>
      <c r="D15" t="s">
        <v>34</v>
      </c>
    </row>
    <row r="16" spans="1:5" x14ac:dyDescent="0.3">
      <c r="A16" t="s">
        <v>78</v>
      </c>
      <c r="B16" s="2" t="s">
        <v>37</v>
      </c>
      <c r="C16" t="s">
        <v>5</v>
      </c>
      <c r="D16" t="s">
        <v>39</v>
      </c>
    </row>
    <row r="17" spans="1:4" x14ac:dyDescent="0.3">
      <c r="A17" t="s">
        <v>79</v>
      </c>
      <c r="B17" s="2" t="s">
        <v>38</v>
      </c>
      <c r="C17" t="s">
        <v>5</v>
      </c>
      <c r="D17" t="s">
        <v>43</v>
      </c>
    </row>
    <row r="18" spans="1:4" x14ac:dyDescent="0.3">
      <c r="A18" t="s">
        <v>80</v>
      </c>
      <c r="B18" s="2" t="s">
        <v>40</v>
      </c>
      <c r="C18" t="s">
        <v>11</v>
      </c>
      <c r="D18" t="s">
        <v>44</v>
      </c>
    </row>
    <row r="19" spans="1:4" x14ac:dyDescent="0.3">
      <c r="A19" t="s">
        <v>81</v>
      </c>
      <c r="B19" s="2" t="s">
        <v>41</v>
      </c>
      <c r="C19" t="s">
        <v>89</v>
      </c>
      <c r="D19" t="s">
        <v>45</v>
      </c>
    </row>
    <row r="20" spans="1:4" x14ac:dyDescent="0.3">
      <c r="A20" t="s">
        <v>82</v>
      </c>
      <c r="B20" s="2" t="s">
        <v>42</v>
      </c>
      <c r="C20" t="s">
        <v>11</v>
      </c>
      <c r="D20" t="s">
        <v>47</v>
      </c>
    </row>
    <row r="21" spans="1:4" x14ac:dyDescent="0.3">
      <c r="A21" t="s">
        <v>83</v>
      </c>
      <c r="B21" s="2" t="s">
        <v>46</v>
      </c>
      <c r="C21" t="s">
        <v>89</v>
      </c>
      <c r="D21" t="s">
        <v>50</v>
      </c>
    </row>
    <row r="22" spans="1:4" x14ac:dyDescent="0.3">
      <c r="A22" t="s">
        <v>84</v>
      </c>
      <c r="B22" s="2" t="s">
        <v>48</v>
      </c>
      <c r="C22" t="s">
        <v>11</v>
      </c>
      <c r="D22" t="s">
        <v>52</v>
      </c>
    </row>
    <row r="23" spans="1:4" x14ac:dyDescent="0.3">
      <c r="A23" t="s">
        <v>85</v>
      </c>
      <c r="B23" s="2" t="s">
        <v>49</v>
      </c>
      <c r="C23" t="s">
        <v>5</v>
      </c>
      <c r="D23" t="s">
        <v>55</v>
      </c>
    </row>
    <row r="24" spans="1:4" x14ac:dyDescent="0.3">
      <c r="A24" t="s">
        <v>86</v>
      </c>
      <c r="B24" s="2" t="s">
        <v>51</v>
      </c>
      <c r="C24" t="s">
        <v>11</v>
      </c>
      <c r="D24" t="s">
        <v>56</v>
      </c>
    </row>
    <row r="25" spans="1:4" x14ac:dyDescent="0.3">
      <c r="A25" t="s">
        <v>87</v>
      </c>
      <c r="B25" s="2" t="s">
        <v>53</v>
      </c>
      <c r="C25" t="s">
        <v>89</v>
      </c>
      <c r="D25" t="s">
        <v>57</v>
      </c>
    </row>
    <row r="26" spans="1:4" x14ac:dyDescent="0.3">
      <c r="A26" t="s">
        <v>88</v>
      </c>
      <c r="B26" s="2" t="s">
        <v>54</v>
      </c>
      <c r="C26" t="s">
        <v>89</v>
      </c>
      <c r="D26" t="s">
        <v>58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CED42-D2AC-4C60-AB41-F540CB0C44A7}">
  <dimension ref="A1:B4"/>
  <sheetViews>
    <sheetView workbookViewId="0">
      <selection activeCell="D12" sqref="D12"/>
    </sheetView>
  </sheetViews>
  <sheetFormatPr defaultRowHeight="14.4" x14ac:dyDescent="0.3"/>
  <cols>
    <col min="1" max="1" width="12.6640625" customWidth="1"/>
    <col min="2" max="2" width="14.77734375" customWidth="1"/>
  </cols>
  <sheetData>
    <row r="1" spans="1:2" x14ac:dyDescent="0.3">
      <c r="A1" t="s">
        <v>90</v>
      </c>
      <c r="B1" t="s">
        <v>91</v>
      </c>
    </row>
    <row r="2" spans="1:2" x14ac:dyDescent="0.3">
      <c r="A2">
        <v>1</v>
      </c>
      <c r="B2" t="s">
        <v>7</v>
      </c>
    </row>
    <row r="3" spans="1:2" x14ac:dyDescent="0.3">
      <c r="A3">
        <v>2</v>
      </c>
      <c r="B3" t="s">
        <v>19</v>
      </c>
    </row>
    <row r="4" spans="1:2" x14ac:dyDescent="0.3">
      <c r="A4">
        <v>3</v>
      </c>
      <c r="B4" t="s">
        <v>13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253976-63A2-43CC-BFD2-8844B168DE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Call Center Pivot</vt:lpstr>
      <vt:lpstr>Call Center Data</vt:lpstr>
      <vt:lpstr>Employees</vt:lpstr>
      <vt:lpstr>Call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Patil</dc:creator>
  <cp:lastModifiedBy>Abhishek Patil</cp:lastModifiedBy>
  <dcterms:created xsi:type="dcterms:W3CDTF">2022-02-03T12:47:13Z</dcterms:created>
  <dcterms:modified xsi:type="dcterms:W3CDTF">2022-02-03T17:08:56Z</dcterms:modified>
</cp:coreProperties>
</file>